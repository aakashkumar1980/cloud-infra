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3280" windowHeight="12600" tabRatio="600" firstSheet="0" activeTab="0" autoFilterDateGrouping="1"/>
  </bookViews>
  <sheets>
    <sheet name="Base Network" sheetId="1" state="visible" r:id="rId1"/>
    <sheet name="VPC Peering" sheetId="2" state="visible" r:id="rId2"/>
    <sheet name="Summary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2"/>
    </font>
    <font>
      <name val="Calibri"/>
      <b val="1"/>
      <color rgb="FFFFFFFF"/>
      <sz val="11"/>
    </font>
    <font>
      <name val="Calibri"/>
      <b val="1"/>
      <sz val="11"/>
    </font>
    <font>
      <name val="Calibri"/>
      <family val="2"/>
      <sz val="11"/>
    </font>
    <font>
      <name val="Calibri"/>
      <family val="2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D9E2F3"/>
        <bgColor rgb="FFD9E2F3"/>
      </patternFill>
    </fill>
    <fill>
      <patternFill patternType="solid">
        <fgColor rgb="FF4472C4"/>
        <bgColor rgb="FF4472C4"/>
      </patternFill>
    </fill>
    <fill>
      <patternFill patternType="solid">
        <fgColor rgb="FFFFC000"/>
        <bgColor rgb="FFFFC000"/>
      </patternFill>
    </fill>
    <fill>
      <patternFill patternType="solid">
        <fgColor theme="6" tint="0.5999938962981048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1" pivotButton="0" quotePrefix="0" xfId="0"/>
    <xf numFmtId="0" fontId="4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0" fontId="3" fillId="3" borderId="2" applyAlignment="1" pivotButton="0" quotePrefix="0" xfId="0">
      <alignment horizontal="center"/>
    </xf>
    <xf numFmtId="0" fontId="3" fillId="3" borderId="3" applyAlignment="1" pivotButton="0" quotePrefix="0" xfId="0">
      <alignment horizontal="center"/>
    </xf>
    <xf numFmtId="0" fontId="3" fillId="3" borderId="4" applyAlignment="1" pivotButton="0" quotePrefix="0" xfId="0">
      <alignment horizontal="center"/>
    </xf>
    <xf numFmtId="0" fontId="0" fillId="0" borderId="5" pivotButton="0" quotePrefix="0" xfId="0"/>
    <xf numFmtId="0" fontId="0" fillId="0" borderId="6" pivotButton="0" quotePrefix="0" xfId="0"/>
    <xf numFmtId="0" fontId="5" fillId="0" borderId="0" pivotButton="0" quotePrefix="0" xfId="0"/>
    <xf numFmtId="0" fontId="0" fillId="0" borderId="0" pivotButton="0" quotePrefix="0" xfId="0"/>
    <xf numFmtId="0" fontId="5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2" fillId="2" borderId="10" applyAlignment="1" pivotButton="0" quotePrefix="0" xfId="0">
      <alignment horizontal="left"/>
    </xf>
    <xf numFmtId="0" fontId="2" fillId="2" borderId="11" applyAlignment="1" pivotButton="0" quotePrefix="0" xfId="0">
      <alignment horizontal="left"/>
    </xf>
    <xf numFmtId="0" fontId="2" fillId="2" borderId="12" applyAlignment="1" pivotButton="0" quotePrefix="0" xfId="0">
      <alignment horizontal="left"/>
    </xf>
    <xf numFmtId="164" fontId="2" fillId="4" borderId="13" pivotButton="0" quotePrefix="0" xfId="0"/>
    <xf numFmtId="0" fontId="6" fillId="3" borderId="2" applyAlignment="1" pivotButton="0" quotePrefix="0" xfId="0">
      <alignment horizontal="center"/>
    </xf>
    <xf numFmtId="0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right"/>
    </xf>
    <xf numFmtId="164" fontId="5" fillId="0" borderId="1" pivotButton="0" quotePrefix="0" xfId="0"/>
    <xf numFmtId="0" fontId="0" fillId="5" borderId="1" pivotButton="0" quotePrefix="0" xfId="0"/>
    <xf numFmtId="0" fontId="0" fillId="5" borderId="1" pivotButton="0" quotePrefix="0" xfId="0"/>
    <xf numFmtId="0" fontId="0" fillId="5" borderId="8" pivotButton="0" quotePrefix="0" xfId="0"/>
    <xf numFmtId="0" fontId="3" fillId="0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2" fillId="2" borderId="14" applyAlignment="1" pivotButton="0" quotePrefix="0" xfId="0">
      <alignment horizontal="lef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5"/>
  <sheetViews>
    <sheetView tabSelected="1" workbookViewId="0">
      <selection activeCell="B22" sqref="B22"/>
    </sheetView>
  </sheetViews>
  <sheetFormatPr baseColWidth="8" defaultRowHeight="15"/>
  <cols>
    <col width="35" customWidth="1" style="20" min="1" max="1"/>
    <col width="18" customWidth="1" style="20" min="2" max="2"/>
    <col width="14" customWidth="1" style="20" min="3" max="3"/>
    <col width="20" customWidth="1" style="20" min="4" max="4"/>
  </cols>
  <sheetData>
    <row r="1" ht="18.75" customHeight="1" s="20">
      <c r="A1" s="3" t="inlineStr">
        <is>
          <t>AWS Base Network Data Transfer Costs</t>
        </is>
      </c>
    </row>
    <row r="2" ht="15.75" customHeight="1" s="20" thickBot="1">
      <c r="A2" t="inlineStr">
        <is>
          <t>(Within Region - Zone to Zone)</t>
        </is>
      </c>
    </row>
    <row r="3">
      <c r="A3" s="5" t="n"/>
      <c r="B3" s="6" t="n"/>
      <c r="C3" s="6" t="n"/>
      <c r="D3" s="7" t="n"/>
    </row>
    <row r="4">
      <c r="A4" s="8" t="inlineStr">
        <is>
          <t>DATA TRANSFER COSTS</t>
        </is>
      </c>
      <c r="B4" s="21" t="n"/>
      <c r="C4" s="21" t="n"/>
      <c r="D4" s="9" t="n"/>
    </row>
    <row r="5">
      <c r="A5" s="8" t="inlineStr">
        <is>
          <t>Scenario</t>
        </is>
      </c>
      <c r="B5" s="21" t="inlineStr">
        <is>
          <t>Rate ($/GB)</t>
        </is>
      </c>
      <c r="C5" s="27" t="inlineStr">
        <is>
          <t>Data (GB)</t>
        </is>
      </c>
      <c r="D5" s="9" t="inlineStr">
        <is>
          <t>Monthly Cost ($)</t>
        </is>
      </c>
    </row>
    <row r="6" ht="15.75" customHeight="1" s="20" thickBot="1">
      <c r="A6" s="12" t="inlineStr">
        <is>
          <t>Same AZ (private IP)</t>
        </is>
      </c>
      <c r="B6" s="13" t="n">
        <v>0</v>
      </c>
      <c r="C6" s="28" t="n">
        <v>1</v>
      </c>
      <c r="D6" s="14">
        <f>B6*C6</f>
        <v/>
      </c>
    </row>
    <row r="7" ht="16.5" customHeight="1" s="20" thickBot="1">
      <c r="A7" s="33" t="inlineStr">
        <is>
          <t>Cross-AZ (same region) - round trip</t>
        </is>
      </c>
      <c r="B7" t="n">
        <v>0.01</v>
      </c>
      <c r="C7" t="n">
        <v>1</v>
      </c>
      <c r="D7" s="18">
        <f>B7*C7*2</f>
        <v/>
      </c>
    </row>
    <row r="8">
      <c r="A8" t="inlineStr">
        <is>
          <t>Data Transfer Subtotal</t>
        </is>
      </c>
      <c r="D8">
        <f>SUM(D6:D7)</f>
        <v/>
      </c>
    </row>
    <row r="9"/>
    <row r="10">
      <c r="A10" t="inlineStr">
        <is>
          <t>NAT GATEWAY COSTS (for internet access)</t>
        </is>
      </c>
    </row>
    <row r="11">
      <c r="A11" t="inlineStr">
        <is>
          <t>Component</t>
        </is>
      </c>
      <c r="B11" t="inlineStr">
        <is>
          <t>Rate</t>
        </is>
      </c>
      <c r="C11" t="inlineStr">
        <is>
          <t>Units</t>
        </is>
      </c>
      <c r="D11" t="inlineStr">
        <is>
          <t>Monthly Cost ($)</t>
        </is>
      </c>
    </row>
    <row r="12">
      <c r="A12" s="10" t="inlineStr">
        <is>
          <t>NAT Gateway Hourly</t>
        </is>
      </c>
      <c r="B12" t="n">
        <v>0.045</v>
      </c>
      <c r="C12" t="n">
        <v>730</v>
      </c>
      <c r="D12">
        <f>B12*C12</f>
        <v/>
      </c>
    </row>
    <row r="13">
      <c r="A13" t="inlineStr">
        <is>
          <t>NAT Gateway Data Processing</t>
        </is>
      </c>
      <c r="B13" t="n">
        <v>0.045</v>
      </c>
      <c r="C13" t="n">
        <v>1</v>
      </c>
      <c r="D13">
        <f>B13*C13</f>
        <v/>
      </c>
    </row>
    <row r="14">
      <c r="A14" t="inlineStr">
        <is>
          <t>Data Transfer Out to Internet (first 10TB)</t>
        </is>
      </c>
      <c r="B14" t="n">
        <v>0.09</v>
      </c>
      <c r="C14" t="n">
        <v>1</v>
      </c>
      <c r="D14">
        <f>B14*C14</f>
        <v/>
      </c>
    </row>
    <row r="15">
      <c r="A15" s="2" t="inlineStr">
        <is>
          <t>NAT Gateway Subtotal</t>
        </is>
      </c>
      <c r="D15">
        <f>SUM(D12:D14)</f>
        <v/>
      </c>
    </row>
    <row r="16"/>
    <row r="17">
      <c r="A17" t="inlineStr">
        <is>
          <t>TOTAL MONTHLY COST</t>
        </is>
      </c>
      <c r="D17">
        <f>D8+D15</f>
        <v/>
      </c>
    </row>
    <row r="18"/>
    <row r="19">
      <c r="A19" t="inlineStr">
        <is>
          <t>Notes:</t>
        </is>
      </c>
    </row>
    <row r="20">
      <c r="A20" t="inlineStr">
        <is>
          <t>• Same AZ with private IP is FREE</t>
        </is>
      </c>
    </row>
    <row r="21">
      <c r="A21" t="inlineStr">
        <is>
          <t>• Cross-AZ is $0.01/GB per direction ($0.02/GB round-trip)</t>
        </is>
      </c>
    </row>
    <row r="22">
      <c r="A22" t="inlineStr">
        <is>
          <t>• NAT Gateway: $0.045/hr + $0.045/GB processing</t>
        </is>
      </c>
    </row>
    <row r="23">
      <c r="A23" t="inlineStr">
        <is>
          <t>• Data Transfer Out to Internet: $0.09/GB (first 10TB)</t>
        </is>
      </c>
    </row>
    <row r="24">
      <c r="A24" t="inlineStr">
        <is>
          <t>• Green cells are inputs - modify as needed</t>
        </is>
      </c>
    </row>
    <row r="25"/>
    <row r="26"/>
    <row r="27"/>
    <row r="28"/>
    <row r="29"/>
    <row r="30"/>
    <row r="31"/>
    <row r="32"/>
    <row r="33"/>
    <row r="34"/>
    <row r="35"/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20" sqref="A20"/>
    </sheetView>
  </sheetViews>
  <sheetFormatPr baseColWidth="8" defaultRowHeight="15"/>
  <cols>
    <col width="35" customWidth="1" style="20" min="1" max="1"/>
    <col width="18.5703125" bestFit="1" customWidth="1" style="20" min="2" max="2"/>
    <col width="12" customWidth="1" style="20" min="3" max="3"/>
    <col width="18" customWidth="1" style="20" min="4" max="4"/>
  </cols>
  <sheetData>
    <row r="1" ht="18.75" customHeight="1" s="20">
      <c r="A1" s="3" t="inlineStr">
        <is>
          <t>VPC Peering Cost Calculator</t>
        </is>
      </c>
    </row>
    <row r="2">
      <c r="A2" t="inlineStr">
        <is>
          <t>(Costs SPECIFIC to VPC Peering component only)</t>
        </is>
      </c>
    </row>
    <row r="3" ht="15.75" customHeight="1" s="20" thickBot="1"/>
    <row r="4">
      <c r="A4" s="19" t="inlineStr">
        <is>
          <t>VPC PEERING COMPONENT COSTS</t>
        </is>
      </c>
      <c r="B4" s="6" t="n"/>
      <c r="C4" s="6" t="n"/>
      <c r="D4" s="7" t="n"/>
    </row>
    <row r="5">
      <c r="A5" s="21" t="inlineStr">
        <is>
          <t>Scenario</t>
        </is>
      </c>
      <c r="B5" s="21" t="inlineStr">
        <is>
          <t>Peering Cost ($/GB)</t>
        </is>
      </c>
      <c r="C5" s="21" t="inlineStr">
        <is>
          <t>Data (GB)</t>
        </is>
      </c>
      <c r="D5" s="22" t="inlineStr">
        <is>
          <t>Monthly Cost ($)</t>
        </is>
      </c>
    </row>
    <row r="6">
      <c r="A6" s="23" t="inlineStr">
        <is>
          <t>01_same_region: Same AZ</t>
        </is>
      </c>
      <c r="B6" s="24" t="n">
        <v>0</v>
      </c>
      <c r="C6" s="27" t="n">
        <v>1</v>
      </c>
      <c r="D6" s="25">
        <f>B6*C6</f>
        <v/>
      </c>
    </row>
    <row r="7" ht="15.75" customHeight="1" s="20">
      <c r="A7" s="23" t="inlineStr">
        <is>
          <t>01_same_region: Cross-AZ</t>
        </is>
      </c>
      <c r="B7" s="21" t="n">
        <v>0</v>
      </c>
      <c r="C7" s="27" t="n">
        <v>1</v>
      </c>
      <c r="D7" s="25">
        <f>B7*C7</f>
        <v/>
      </c>
    </row>
    <row r="8" ht="15.75" customHeight="1" s="20" thickBot="1">
      <c r="A8" s="21" t="inlineStr">
        <is>
          <t>02_different_region: Cross-Region</t>
        </is>
      </c>
      <c r="B8" s="21" t="n">
        <v>0.02</v>
      </c>
      <c r="C8" s="27" t="n">
        <v>1</v>
      </c>
      <c r="D8" s="25">
        <f>B8*C8</f>
        <v/>
      </c>
    </row>
    <row r="9" ht="16.5" customHeight="1" s="20" thickBot="1">
      <c r="A9" s="33" t="n"/>
      <c r="D9" s="18" t="n"/>
    </row>
    <row r="10">
      <c r="A10" s="2" t="inlineStr">
        <is>
          <t>TOTAL VPC PEERING COST</t>
        </is>
      </c>
      <c r="D10">
        <f>SUM(D6:D8)</f>
        <v/>
      </c>
    </row>
    <row r="11"/>
    <row r="12">
      <c r="A12" t="inlineStr">
        <is>
          <t>Notes:</t>
        </is>
      </c>
    </row>
    <row r="13">
      <c r="A13" t="inlineStr">
        <is>
          <t>• VPC Peering connection itself is FREE (no hourly charge)</t>
        </is>
      </c>
    </row>
    <row r="14">
      <c r="A14" t="inlineStr">
        <is>
          <t>• 01_same_region: $0 additional peering cost</t>
        </is>
      </c>
    </row>
    <row r="15">
      <c r="A15" t="inlineStr">
        <is>
          <t xml:space="preserve">  (you only pay Base Network data transfer costs)</t>
        </is>
      </c>
    </row>
    <row r="16">
      <c r="A16" t="inlineStr">
        <is>
          <t>• 02_different_region: $0.02/GB peering cost</t>
        </is>
      </c>
    </row>
    <row r="17">
      <c r="A17" t="inlineStr">
        <is>
          <t xml:space="preserve">  (varies $0.02-$0.05 depending on region pair)</t>
        </is>
      </c>
    </row>
    <row r="18">
      <c r="A18" t="inlineStr">
        <is>
          <t>• Green cells are inputs - modify as needed</t>
        </is>
      </c>
    </row>
    <row r="19"/>
    <row r="20"/>
    <row r="21"/>
    <row r="22"/>
    <row r="23"/>
    <row r="24"/>
    <row r="25"/>
    <row r="26"/>
    <row r="27"/>
    <row r="28"/>
    <row r="29"/>
    <row r="30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B18" sqref="B18"/>
    </sheetView>
  </sheetViews>
  <sheetFormatPr baseColWidth="8" defaultRowHeight="15"/>
  <cols>
    <col width="25" customWidth="1" style="20" min="1" max="1"/>
    <col width="18" customWidth="1" style="20" min="2" max="4"/>
  </cols>
  <sheetData>
    <row r="1" ht="18.75" customHeight="1" s="20">
      <c r="A1" s="3" t="inlineStr">
        <is>
          <t>AWS Networking Cost Summary</t>
        </is>
      </c>
    </row>
    <row r="2"/>
    <row r="3">
      <c r="A3" s="29" t="inlineStr">
        <is>
          <t>Component</t>
        </is>
      </c>
      <c r="B3" s="29" t="inlineStr">
        <is>
          <t>Fixed Cost ($)</t>
        </is>
      </c>
      <c r="C3" s="29" t="inlineStr">
        <is>
          <t>Variable Cost ($)</t>
        </is>
      </c>
      <c r="D3" s="29" t="inlineStr">
        <is>
          <t>Total Cost ($)</t>
        </is>
      </c>
    </row>
    <row r="4">
      <c r="A4" t="inlineStr">
        <is>
          <t>Base Network</t>
        </is>
      </c>
      <c r="B4" s="30">
        <f>'Base Network'!D15</f>
        <v/>
      </c>
      <c r="C4" s="30">
        <f>'Base Network'!D8</f>
        <v/>
      </c>
      <c r="D4" s="30">
        <f>B4+C4</f>
        <v/>
      </c>
    </row>
    <row r="5">
      <c r="A5" t="inlineStr">
        <is>
          <t>VPC Peering</t>
        </is>
      </c>
      <c r="B5" s="30" t="n">
        <v>0</v>
      </c>
      <c r="C5" s="30">
        <f>'VPC Peering'!D10</f>
        <v/>
      </c>
      <c r="D5" s="30">
        <f>B5+C5</f>
        <v/>
      </c>
    </row>
    <row r="6"/>
    <row r="7" ht="15.75" customHeight="1" s="20">
      <c r="A7" s="31" t="inlineStr">
        <is>
          <t>GRAND TOTAL</t>
        </is>
      </c>
      <c r="D7" s="32">
        <f>SUM(D4:D5)</f>
        <v/>
      </c>
    </row>
    <row r="8"/>
    <row r="9">
      <c r="A9" t="inlineStr">
        <is>
          <t>Cost Calculation Examples:</t>
        </is>
      </c>
    </row>
    <row r="10">
      <c r="A10" t="inlineStr">
        <is>
          <t>• Same-region peering (same AZ): Base Network only = $0</t>
        </is>
      </c>
    </row>
    <row r="11">
      <c r="A11" t="inlineStr">
        <is>
          <t>• Same-region peering (cross-AZ): Base Network only = $0.02/GB</t>
        </is>
      </c>
    </row>
    <row r="12">
      <c r="A12" t="inlineStr">
        <is>
          <t>• Cross-region peering: Base Network + $0.02/GB peering</t>
        </is>
      </c>
    </row>
    <row r="13"/>
    <row r="14"/>
    <row r="15"/>
    <row r="16"/>
    <row r="17"/>
    <row r="18"/>
    <row r="19"/>
    <row r="2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2025-12-06T21:43:25Z</dcterms:created>
  <dcterms:modified xsi:type="dcterms:W3CDTF">2025-12-10T00:19:31Z</dcterms:modified>
  <cp:lastModifiedBy>Aakash Kumar</cp:lastModifiedBy>
</cp:coreProperties>
</file>