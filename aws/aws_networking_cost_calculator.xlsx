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2600" tabRatio="600" firstSheet="0" activeTab="0" autoFilterDateGrouping="1"/>
  </bookViews>
  <sheets>
    <sheet name="Base Network" sheetId="1" state="visible" r:id="rId1"/>
    <sheet name="VPC Peering" sheetId="2" state="visible" r:id="rId2"/>
    <sheet name="Summar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color rgb="FFFFFFFF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164" fontId="0" fillId="0" borderId="1" pivotButton="0" quotePrefix="0" xfId="0"/>
    <xf numFmtId="164" fontId="4" fillId="5" borderId="1" pivotButton="0" quotePrefix="0" xfId="0"/>
    <xf numFmtId="164" fontId="2" fillId="5" borderId="1" pivotButton="0" quotePrefix="0" xfId="0"/>
    <xf numFmtId="0" fontId="4" fillId="0" borderId="0" pivotButton="0" quotePrefix="0" xfId="0"/>
    <xf numFmtId="0" fontId="2" fillId="2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0" fontId="2" fillId="5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1" workbookViewId="0">
      <selection activeCell="E22" sqref="E22"/>
    </sheetView>
  </sheetViews>
  <sheetFormatPr baseColWidth="8" defaultRowHeight="15"/>
  <cols>
    <col width="35" customWidth="1" style="9" min="1" max="1"/>
    <col width="18" customWidth="1" style="9" min="2" max="2"/>
    <col width="14" customWidth="1" style="9" min="3" max="3"/>
    <col width="12" customWidth="1" style="9" min="4" max="4"/>
    <col width="20" customWidth="1" style="9" min="5" max="5"/>
    <col width="18" customWidth="1" style="9" min="6" max="6"/>
  </cols>
  <sheetData>
    <row r="1" ht="18.75" customHeight="1" s="9">
      <c r="A1" s="12" t="inlineStr">
        <is>
          <t>AWS Base Network Cost Calculator</t>
        </is>
      </c>
    </row>
    <row r="3" ht="15.75" customHeight="1" s="9">
      <c r="A3" s="8" t="inlineStr">
        <is>
          <t>FIXED MONTHLY COSTS</t>
        </is>
      </c>
    </row>
    <row r="4">
      <c r="A4" s="1" t="inlineStr">
        <is>
          <t>Component</t>
        </is>
      </c>
      <c r="B4" s="1" t="inlineStr">
        <is>
          <t>Unit Rate ($/hr)</t>
        </is>
      </c>
      <c r="C4" s="1" t="inlineStr">
        <is>
          <t>Hours/Month</t>
        </is>
      </c>
      <c r="D4" s="1" t="inlineStr">
        <is>
          <t>Quantity</t>
        </is>
      </c>
      <c r="E4" s="1" t="inlineStr">
        <is>
          <t>Formula</t>
        </is>
      </c>
      <c r="F4" s="1" t="inlineStr">
        <is>
          <t>Monthly Cost ($)</t>
        </is>
      </c>
    </row>
    <row r="5">
      <c r="A5" s="11" t="inlineStr">
        <is>
          <t>NAT Gateway</t>
        </is>
      </c>
      <c r="B5" s="11" t="n">
        <v>0.045</v>
      </c>
      <c r="C5" s="11" t="n">
        <v>730</v>
      </c>
      <c r="D5" s="3" t="n">
        <v>1</v>
      </c>
      <c r="E5" s="11">
        <f>B5*C5*D5</f>
        <v/>
      </c>
      <c r="F5" s="4">
        <f>B5*C5*D5</f>
        <v/>
      </c>
    </row>
    <row r="6">
      <c r="A6" s="11" t="inlineStr">
        <is>
          <t>Elastic IP (attached to NAT GW)</t>
        </is>
      </c>
      <c r="B6" s="11" t="n">
        <v>0</v>
      </c>
      <c r="C6" s="11" t="n">
        <v>730</v>
      </c>
      <c r="D6" s="3" t="n">
        <v>1</v>
      </c>
      <c r="E6" s="11">
        <f>B6*C6*D6</f>
        <v/>
      </c>
      <c r="F6" s="4">
        <f>B6*C6*D6</f>
        <v/>
      </c>
    </row>
    <row r="7">
      <c r="A7" s="10" t="inlineStr">
        <is>
          <t>Subtotal (Per NAT Gateway)</t>
        </is>
      </c>
      <c r="B7" s="14" t="n"/>
      <c r="C7" s="14" t="n"/>
      <c r="D7" s="14" t="n"/>
      <c r="E7" s="15" t="n"/>
      <c r="F7" s="5">
        <f>SUM(F5:F6)</f>
        <v/>
      </c>
    </row>
    <row r="10" ht="15.75" customHeight="1" s="9">
      <c r="A10" s="8" t="inlineStr">
        <is>
          <t>VARIABLE MONTHLY COSTS</t>
        </is>
      </c>
    </row>
    <row r="11">
      <c r="A11" s="1" t="inlineStr">
        <is>
          <t>Component</t>
        </is>
      </c>
      <c r="B11" s="1" t="inlineStr">
        <is>
          <t>Rate ($/GB)</t>
        </is>
      </c>
      <c r="C11" s="1" t="inlineStr">
        <is>
          <t>Data (GB)</t>
        </is>
      </c>
      <c r="D11" s="1" t="inlineStr">
        <is>
          <t>Formula</t>
        </is>
      </c>
      <c r="E11" s="1" t="inlineStr">
        <is>
          <t>Monthly Cost ($)</t>
        </is>
      </c>
    </row>
    <row r="12">
      <c r="A12" s="11" t="inlineStr">
        <is>
          <t>NAT Gateway Data Processing</t>
        </is>
      </c>
      <c r="B12" s="11" t="n">
        <v>0.045</v>
      </c>
      <c r="C12" s="3" t="n">
        <v>1</v>
      </c>
      <c r="D12" s="11">
        <f>B12*C12</f>
        <v/>
      </c>
      <c r="E12" s="4">
        <f>B12*C12*D5</f>
        <v/>
      </c>
    </row>
    <row r="13">
      <c r="A13" s="11" t="inlineStr">
        <is>
          <t>Data Transfer Out (first 10TB)</t>
        </is>
      </c>
      <c r="B13" s="11" t="n">
        <v>0.09</v>
      </c>
      <c r="C13" s="3" t="n">
        <v>1</v>
      </c>
      <c r="D13" s="11">
        <f>B13*C13</f>
        <v/>
      </c>
      <c r="E13" s="4">
        <f>B13*C13</f>
        <v/>
      </c>
    </row>
    <row r="14">
      <c r="A14" s="11" t="inlineStr">
        <is>
          <t>Cross-Region Data Transfer</t>
        </is>
      </c>
      <c r="B14" s="11" t="n">
        <v>0.02</v>
      </c>
      <c r="C14" s="3" t="n">
        <v>1</v>
      </c>
      <c r="D14" s="11">
        <f>B14*C14</f>
        <v/>
      </c>
      <c r="E14" s="4">
        <f>B14*C14</f>
        <v/>
      </c>
    </row>
    <row r="15">
      <c r="A15" s="10" t="inlineStr">
        <is>
          <t>Variable Subtotal</t>
        </is>
      </c>
      <c r="B15" s="14" t="n"/>
      <c r="C15" s="14" t="n"/>
      <c r="D15" s="15" t="n"/>
      <c r="E15" s="5">
        <f>SUM(E12:E14)</f>
        <v/>
      </c>
    </row>
    <row r="17" ht="15.75" customHeight="1" s="9">
      <c r="A17" s="13" t="inlineStr">
        <is>
          <t>TOTAL MONTHLY COST</t>
        </is>
      </c>
      <c r="B17" s="14" t="n"/>
      <c r="C17" s="14" t="n"/>
      <c r="D17" s="14" t="n"/>
      <c r="E17" s="15" t="n"/>
      <c r="F17" s="6">
        <f>F7+E15</f>
        <v/>
      </c>
    </row>
    <row r="19">
      <c r="A19" s="7" t="inlineStr">
        <is>
          <t>Notes:</t>
        </is>
      </c>
    </row>
    <row r="20">
      <c r="A20" t="inlineStr">
        <is>
          <t>• Green cells are inputs - modify these values</t>
        </is>
      </c>
    </row>
    <row r="21">
      <c r="A21" t="inlineStr">
        <is>
          <t>• Prices are for us-east-1 region</t>
        </is>
      </c>
    </row>
    <row r="22">
      <c r="A22" t="inlineStr">
        <is>
          <t>• NAT Gateway Data Processing is multiplied by number of NAT Gateways</t>
        </is>
      </c>
    </row>
  </sheetData>
  <mergeCells count="6">
    <mergeCell ref="A10:F10"/>
    <mergeCell ref="A7:E7"/>
    <mergeCell ref="A1:F1"/>
    <mergeCell ref="A15:D15"/>
    <mergeCell ref="A3:F3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:E1"/>
    </sheetView>
  </sheetViews>
  <sheetFormatPr baseColWidth="8" defaultRowHeight="15"/>
  <cols>
    <col width="35" customWidth="1" style="9" min="1" max="1"/>
    <col width="15" customWidth="1" style="9" min="2" max="2"/>
    <col width="12" customWidth="1" style="9" min="3" max="3"/>
    <col width="15" customWidth="1" style="9" min="4" max="4"/>
    <col width="18" customWidth="1" style="9" min="5" max="5"/>
  </cols>
  <sheetData>
    <row r="1" ht="18.75" customHeight="1" s="9">
      <c r="A1" s="12" t="inlineStr">
        <is>
          <t>VPC Peering Cost Calculator</t>
        </is>
      </c>
    </row>
    <row r="3" ht="15.75" customHeight="1" s="9">
      <c r="A3" s="8" t="inlineStr">
        <is>
          <t>FIXED MONTHLY COSTS</t>
        </is>
      </c>
    </row>
    <row r="4">
      <c r="A4" s="1" t="inlineStr">
        <is>
          <t>Component</t>
        </is>
      </c>
      <c r="B4" s="1" t="inlineStr">
        <is>
          <t>Rate</t>
        </is>
      </c>
      <c r="C4" s="1" t="inlineStr">
        <is>
          <t>Quantity</t>
        </is>
      </c>
      <c r="D4" s="1" t="inlineStr">
        <is>
          <t>Formula</t>
        </is>
      </c>
      <c r="E4" s="1" t="inlineStr">
        <is>
          <t>Monthly Cost ($)</t>
        </is>
      </c>
    </row>
    <row r="5">
      <c r="A5" s="11" t="inlineStr">
        <is>
          <t>VPC Peering Connection</t>
        </is>
      </c>
      <c r="B5" s="11" t="inlineStr">
        <is>
          <t>Free</t>
        </is>
      </c>
      <c r="C5" s="3" t="n">
        <v>1</v>
      </c>
      <c r="D5" s="11">
        <f>0*C5</f>
        <v/>
      </c>
      <c r="E5" s="4">
        <f>0*C5</f>
        <v/>
      </c>
    </row>
    <row r="6">
      <c r="A6" s="10" t="inlineStr">
        <is>
          <t>Fixed Subtotal</t>
        </is>
      </c>
      <c r="E6" s="5">
        <f>SUM(E5:E5)</f>
        <v/>
      </c>
    </row>
    <row r="8" ht="15.75" customHeight="1" s="9">
      <c r="A8" s="8" t="inlineStr">
        <is>
          <t>VARIABLE MONTHLY COSTS</t>
        </is>
      </c>
    </row>
    <row r="9">
      <c r="A9" s="1" t="inlineStr">
        <is>
          <t>Component</t>
        </is>
      </c>
      <c r="B9" s="1" t="inlineStr">
        <is>
          <t>Rate ($/GB)</t>
        </is>
      </c>
      <c r="C9" s="1" t="inlineStr">
        <is>
          <t>Data (GB)</t>
        </is>
      </c>
      <c r="D9" s="1" t="inlineStr">
        <is>
          <t>Formula</t>
        </is>
      </c>
      <c r="E9" s="1" t="inlineStr">
        <is>
          <t>Monthly Cost ($)</t>
        </is>
      </c>
    </row>
    <row r="10">
      <c r="A10" s="11" t="inlineStr">
        <is>
          <t>01_same_region: Same AZ</t>
        </is>
      </c>
      <c r="B10" s="11" t="n">
        <v>0</v>
      </c>
      <c r="C10" s="3" t="n">
        <v>1</v>
      </c>
      <c r="D10" s="11">
        <f>B10*C10</f>
        <v/>
      </c>
      <c r="E10" s="4">
        <f>B10*C10</f>
        <v/>
      </c>
    </row>
    <row r="11">
      <c r="A11" s="11" t="inlineStr">
        <is>
          <t>01_same_region: Cross-AZ</t>
        </is>
      </c>
      <c r="B11" s="11" t="n">
        <v>0.01</v>
      </c>
      <c r="C11" s="3" t="n">
        <v>1</v>
      </c>
      <c r="D11" s="11">
        <f>B11*C11*2</f>
        <v/>
      </c>
      <c r="E11" s="4">
        <f>B11*C11*2</f>
        <v/>
      </c>
    </row>
    <row r="12">
      <c r="A12" t="inlineStr">
        <is>
          <t>02_different_region: Cross-Region</t>
        </is>
      </c>
      <c r="B12" t="n">
        <v>0.02</v>
      </c>
      <c r="C12" t="n">
        <v>1</v>
      </c>
      <c r="D12">
        <f>B12*C12</f>
        <v/>
      </c>
      <c r="E12">
        <f>B12*C12</f>
        <v/>
      </c>
    </row>
    <row r="13">
      <c r="A13" s="10" t="inlineStr">
        <is>
          <t>Variable Subtotal</t>
        </is>
      </c>
      <c r="E13" s="5">
        <f>SUM(E10:E12)</f>
        <v/>
      </c>
    </row>
    <row r="14" ht="15.75" customHeight="1" s="9"/>
    <row r="15">
      <c r="A15" s="13" t="inlineStr">
        <is>
          <t>TOTAL MONTHLY COST</t>
        </is>
      </c>
      <c r="E15" s="6">
        <f>E6+E13</f>
        <v/>
      </c>
    </row>
    <row r="17">
      <c r="A17" s="7" t="inlineStr">
        <is>
          <t>Notes:</t>
        </is>
      </c>
    </row>
    <row r="18">
      <c r="A18" t="inlineStr">
        <is>
          <t>• VPC Peering connection itself is FREE</t>
        </is>
      </c>
    </row>
    <row r="19">
      <c r="A19" t="inlineStr">
        <is>
          <t>• 01_same_region: Same AZ data transfer is FREE</t>
        </is>
      </c>
    </row>
    <row r="20">
      <c r="A20" t="inlineStr">
        <is>
          <t>• 01_same_region: Cross-AZ is $0.01/GB each direction ($0.02 round-trip)</t>
        </is>
      </c>
    </row>
    <row r="21">
      <c r="A21" t="inlineStr">
        <is>
          <t>• 02_different_region: Cross-Region is $0.02/GB (varies $0.02-$0.05 by region pair)</t>
        </is>
      </c>
    </row>
    <row r="22">
      <c r="A22" t="inlineStr">
        <is>
          <t>• Green cells are inputs - modify Data (GB)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B13" sqref="B13"/>
    </sheetView>
  </sheetViews>
  <sheetFormatPr baseColWidth="8" defaultRowHeight="15"/>
  <cols>
    <col width="25" customWidth="1" style="9" min="1" max="1"/>
    <col width="18" customWidth="1" style="9" min="2" max="4"/>
  </cols>
  <sheetData>
    <row r="1" ht="18.75" customHeight="1" s="9">
      <c r="A1" s="12" t="inlineStr">
        <is>
          <t>AWS Networking Cost Summary</t>
        </is>
      </c>
    </row>
    <row r="3">
      <c r="A3" s="1" t="inlineStr">
        <is>
          <t>Component</t>
        </is>
      </c>
      <c r="B3" s="1" t="inlineStr">
        <is>
          <t>Fixed Cost ($)</t>
        </is>
      </c>
      <c r="C3" s="1" t="inlineStr">
        <is>
          <t>Variable Cost ($)</t>
        </is>
      </c>
      <c r="D3" s="1" t="inlineStr">
        <is>
          <t>Total Cost ($)</t>
        </is>
      </c>
    </row>
    <row r="4">
      <c r="A4" s="11" t="inlineStr">
        <is>
          <t>Base Network</t>
        </is>
      </c>
      <c r="B4" s="4">
        <f>'Base Network'!F7</f>
        <v/>
      </c>
      <c r="C4" s="4">
        <f>'Base Network'!E15</f>
        <v/>
      </c>
      <c r="D4" s="4">
        <f>B4+C4</f>
        <v/>
      </c>
    </row>
    <row r="5">
      <c r="A5" s="11" t="inlineStr">
        <is>
          <t>VPC Peering</t>
        </is>
      </c>
      <c r="B5" s="4">
        <f>'VPC Peering'!E6</f>
        <v/>
      </c>
      <c r="C5" s="4">
        <f>'VPC Peering'!E13</f>
        <v/>
      </c>
      <c r="D5" s="4">
        <f>B5+C5</f>
        <v/>
      </c>
    </row>
    <row r="7" ht="15.75" customHeight="1" s="9">
      <c r="A7" s="13" t="inlineStr">
        <is>
          <t>GRAND TOTAL</t>
        </is>
      </c>
      <c r="B7" s="14" t="n"/>
      <c r="C7" s="15" t="n"/>
      <c r="D7" s="6">
        <f>SUM(D4:D5)</f>
        <v/>
      </c>
    </row>
  </sheetData>
  <mergeCells count="2">
    <mergeCell ref="A1:D1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2025-12-06T21:43:25Z</dcterms:created>
  <dcterms:modified xsi:type="dcterms:W3CDTF">2025-12-09T21:08:45Z</dcterms:modified>
  <cp:lastModifiedBy>Aakash Kumar</cp:lastModifiedBy>
</cp:coreProperties>
</file>