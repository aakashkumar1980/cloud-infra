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9c0be9037e15b1e3/Desktop/cloud-infra/aws/"/>
    </mc:Choice>
  </mc:AlternateContent>
  <xr:revisionPtr revIDLastSave="13" documentId="11_8ECE4E5D1D77407407D00FF9512CB692BB7F33CF" xr6:coauthVersionLast="47" xr6:coauthVersionMax="47" xr10:uidLastSave="{DC71AD50-EEF8-409E-B75F-7A1EFD859B73}"/>
  <bookViews>
    <workbookView xWindow="-120" yWindow="-120" windowWidth="23280" windowHeight="12600" xr2:uid="{00000000-000D-0000-FFFF-FFFF00000000}"/>
  </bookViews>
  <sheets>
    <sheet name="Base Network" sheetId="1" r:id="rId1"/>
    <sheet name="VPC Peering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E12" i="1"/>
  <c r="E15" i="1" s="1"/>
  <c r="C4" i="3" s="1"/>
  <c r="E11" i="2"/>
  <c r="D11" i="2"/>
  <c r="E10" i="2"/>
  <c r="E12" i="2" s="1"/>
  <c r="C5" i="3" s="1"/>
  <c r="D10" i="2"/>
  <c r="E5" i="2"/>
  <c r="E6" i="2" s="1"/>
  <c r="D5" i="2"/>
  <c r="E14" i="1"/>
  <c r="D14" i="1"/>
  <c r="E13" i="1"/>
  <c r="D13" i="1"/>
  <c r="D12" i="1"/>
  <c r="F6" i="1"/>
  <c r="F7" i="1" s="1"/>
  <c r="F17" i="1" s="1"/>
  <c r="E6" i="1"/>
  <c r="F5" i="1"/>
  <c r="E5" i="1"/>
  <c r="D4" i="3" l="1"/>
  <c r="D7" i="3" s="1"/>
  <c r="D5" i="3"/>
  <c r="E14" i="2"/>
</calcChain>
</file>

<file path=xl/sharedStrings.xml><?xml version="1.0" encoding="utf-8"?>
<sst xmlns="http://schemas.openxmlformats.org/spreadsheetml/2006/main" count="59" uniqueCount="39">
  <si>
    <t>AWS Base Network Cost Calculator</t>
  </si>
  <si>
    <t>FIXED MONTHLY COSTS</t>
  </si>
  <si>
    <t>Component</t>
  </si>
  <si>
    <t>Unit Rate ($/hr)</t>
  </si>
  <si>
    <t>Hours/Month</t>
  </si>
  <si>
    <t>Quantity</t>
  </si>
  <si>
    <t>Formula</t>
  </si>
  <si>
    <t>Monthly Cost ($)</t>
  </si>
  <si>
    <t>NAT Gateway</t>
  </si>
  <si>
    <t>Elastic IP (attached to NAT GW)</t>
  </si>
  <si>
    <t>Subtotal (Per NAT Gateway)</t>
  </si>
  <si>
    <t>VARIABLE MONTHLY COSTS</t>
  </si>
  <si>
    <t>Rate ($/GB)</t>
  </si>
  <si>
    <t>Data (GB)</t>
  </si>
  <si>
    <t>NAT Gateway Data Processing</t>
  </si>
  <si>
    <t>Data Transfer Out (first 10TB)</t>
  </si>
  <si>
    <t>Cross-Region Data Transfer</t>
  </si>
  <si>
    <t>Variable Subtotal</t>
  </si>
  <si>
    <t>TOTAL MONTHLY COST</t>
  </si>
  <si>
    <t>Notes:</t>
  </si>
  <si>
    <t>• Green cells are inputs - modify these values</t>
  </si>
  <si>
    <t>• Prices are for us-east-1 region</t>
  </si>
  <si>
    <t>• NAT Gateway Data Processing is multiplied by number of NAT Gateways</t>
  </si>
  <si>
    <t>VPC Peering Cost Calculator</t>
  </si>
  <si>
    <t>Rate</t>
  </si>
  <si>
    <t>VPC Peering Connection</t>
  </si>
  <si>
    <t>Free</t>
  </si>
  <si>
    <t>Fixed Subtotal</t>
  </si>
  <si>
    <t>Same Region Data Transfer</t>
  </si>
  <si>
    <t>• VPC Peering itself is FREE</t>
  </si>
  <si>
    <t>• Same-region data transfer is FREE</t>
  </si>
  <si>
    <t>• Cross-region peering: $0.01/GB each direction</t>
  </si>
  <si>
    <t>AWS Networking Cost Summary</t>
  </si>
  <si>
    <t>Fixed Cost ($)</t>
  </si>
  <si>
    <t>Variable Cost ($)</t>
  </si>
  <si>
    <t>Total Cost ($)</t>
  </si>
  <si>
    <t>Base Network</t>
  </si>
  <si>
    <t>VPC Peering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</si>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</sst>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3" borderId="1" xfId="0" applyFont="1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164" fontId="2" fillId="5" borderId="1" xfId="0" applyNumberFormat="1" applyFont="1" applyFill="1" applyBorder="1"/>
    <xf numFmtId="0" fontId="4" fillId="0" borderId="0" xfId="0" applyFont="1"/>
    <xf numFmtId="0" fontId="2" fillId="2" borderId="0" xfId="0" applyFont="1" applyFill="1"/>
    <xf numFmtId="0" fontId="0" fillId="0" borderId="0" xfId="0"/>
    <xf numFmtId="0" fontId="4" fillId="0" borderId="1" xfId="0" applyFont="1" applyBorder="1"/>
    <xf numFmtId="0" fontId="0" fillId="0" borderId="1" xfId="0" applyBorder="1"/>
    <xf numFmtId="0" fontId="1" fillId="0" borderId="0" xfId="0" applyFont="1"/>
    <xf numFmtId="0" fontId="2" fillId="5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workbookViewId="0">
      <selection activeCell="E22" sqref="E22"/>
    </sheetView>
  </sheetViews>
  <sheetFormatPr defaultRowHeight="15" x14ac:dyDescent="0.25"/>
  <cols>
    <col min="1" max="1" width="35" customWidth="1"/>
    <col min="2" max="2" width="18" customWidth="1"/>
    <col min="3" max="3" width="14" customWidth="1"/>
    <col min="4" max="4" width="12" customWidth="1"/>
    <col min="5" max="5" width="20" customWidth="1"/>
    <col min="6" max="6" width="18" customWidth="1"/>
  </cols>
  <sheetData>
    <row r="1" spans="1:6" ht="18.75" x14ac:dyDescent="0.3">
      <c r="A1" s="12" t="s">
        <v>0</v>
      </c>
      <c r="B1" s="9"/>
      <c r="C1" s="9"/>
      <c r="D1" s="9"/>
      <c r="E1" s="9"/>
      <c r="F1" s="9"/>
    </row>
    <row r="3" spans="1:6" ht="15.75" x14ac:dyDescent="0.25">
      <c r="A3" s="8" t="s">
        <v>1</v>
      </c>
      <c r="B3" s="9"/>
      <c r="C3" s="9"/>
      <c r="D3" s="9"/>
      <c r="E3" s="9"/>
      <c r="F3" s="9"/>
    </row>
    <row r="4" spans="1:6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 x14ac:dyDescent="0.25">
      <c r="A5" s="2" t="s">
        <v>8</v>
      </c>
      <c r="B5" s="2">
        <v>4.4999999999999998E-2</v>
      </c>
      <c r="C5" s="2">
        <v>730</v>
      </c>
      <c r="D5" s="3">
        <v>1</v>
      </c>
      <c r="E5" s="2">
        <f>B5*C5*D5</f>
        <v>32.85</v>
      </c>
      <c r="F5" s="4">
        <f>B5*C5*D5</f>
        <v>32.85</v>
      </c>
    </row>
    <row r="6" spans="1:6" x14ac:dyDescent="0.25">
      <c r="A6" s="2" t="s">
        <v>9</v>
      </c>
      <c r="B6" s="2">
        <v>0</v>
      </c>
      <c r="C6" s="2">
        <v>730</v>
      </c>
      <c r="D6" s="3">
        <v>1</v>
      </c>
      <c r="E6" s="2">
        <f>B6*C6*D6</f>
        <v>0</v>
      </c>
      <c r="F6" s="4">
        <f>B6*C6*D6</f>
        <v>0</v>
      </c>
    </row>
    <row r="7" spans="1:6" x14ac:dyDescent="0.25">
      <c r="A7" s="10" t="s">
        <v>10</v>
      </c>
      <c r="B7" s="11"/>
      <c r="C7" s="11"/>
      <c r="D7" s="11"/>
      <c r="E7" s="11"/>
      <c r="F7" s="5">
        <f>SUM(F5:F6)</f>
        <v>32.85</v>
      </c>
    </row>
    <row r="10" spans="1:6" ht="15.75" x14ac:dyDescent="0.25">
      <c r="A10" s="8" t="s">
        <v>11</v>
      </c>
      <c r="B10" s="9"/>
      <c r="C10" s="9"/>
      <c r="D10" s="9"/>
      <c r="E10" s="9"/>
      <c r="F10" s="9"/>
    </row>
    <row r="11" spans="1:6" x14ac:dyDescent="0.25">
      <c r="A11" s="1" t="s">
        <v>2</v>
      </c>
      <c r="B11" s="1" t="s">
        <v>12</v>
      </c>
      <c r="C11" s="1" t="s">
        <v>13</v>
      </c>
      <c r="D11" s="1" t="s">
        <v>6</v>
      </c>
      <c r="E11" s="1" t="s">
        <v>7</v>
      </c>
    </row>
    <row r="12" spans="1:6" x14ac:dyDescent="0.25">
      <c r="A12" s="2" t="s">
        <v>14</v>
      </c>
      <c r="B12" s="2">
        <v>4.4999999999999998E-2</v>
      </c>
      <c r="C12" s="3">
        <v>1</v>
      </c>
      <c r="D12" s="2">
        <f>B12*C12</f>
        <v>4.4999999999999998E-2</v>
      </c>
      <c r="E12" s="4">
        <f>B12*C12*D5</f>
        <v>4.4999999999999998E-2</v>
      </c>
    </row>
    <row r="13" spans="1:6" x14ac:dyDescent="0.25">
      <c r="A13" s="2" t="s">
        <v>15</v>
      </c>
      <c r="B13" s="2">
        <v>0.09</v>
      </c>
      <c r="C13" s="3">
        <v>1</v>
      </c>
      <c r="D13" s="2">
        <f>B13*C13</f>
        <v>0.09</v>
      </c>
      <c r="E13" s="4">
        <f>B13*C13</f>
        <v>0.09</v>
      </c>
    </row>
    <row r="14" spans="1:6" x14ac:dyDescent="0.25">
      <c r="A14" s="2" t="s">
        <v>16</v>
      </c>
      <c r="B14" s="2">
        <v>0.02</v>
      </c>
      <c r="C14" s="3">
        <v>1</v>
      </c>
      <c r="D14" s="2">
        <f>B14*C14</f>
        <v>0.02</v>
      </c>
      <c r="E14" s="4">
        <f>B14*C14</f>
        <v>0.02</v>
      </c>
    </row>
    <row r="15" spans="1:6" x14ac:dyDescent="0.25">
      <c r="A15" s="10" t="s">
        <v>17</v>
      </c>
      <c r="B15" s="11"/>
      <c r="C15" s="11"/>
      <c r="D15" s="11"/>
      <c r="E15" s="5">
        <f>SUM(E12:E14)</f>
        <v>0.155</v>
      </c>
    </row>
    <row r="17" spans="1:6" ht="15.75" x14ac:dyDescent="0.25">
      <c r="A17" s="13" t="s">
        <v>18</v>
      </c>
      <c r="B17" s="11"/>
      <c r="C17" s="11"/>
      <c r="D17" s="11"/>
      <c r="E17" s="11"/>
      <c r="F17" s="6">
        <f>F7+E15</f>
        <v>33.005000000000003</v>
      </c>
    </row>
    <row r="19" spans="1:6" x14ac:dyDescent="0.25">
      <c r="A19" s="7" t="s">
        <v>19</v>
      </c>
    </row>
    <row r="20" spans="1:6" x14ac:dyDescent="0.25">
      <c r="A20" t="s">
        <v>20</v>
      </c>
    </row>
    <row r="21" spans="1:6" x14ac:dyDescent="0.25">
      <c r="A21" t="s">
        <v>21</v>
      </c>
    </row>
    <row r="22" spans="1:6" x14ac:dyDescent="0.25">
      <c r="A22" t="s">
        <v>22</v>
      </c>
    </row>
  </sheetData>
  <mergeCells count="6">
    <mergeCell ref="A17:E17"/>
    <mergeCell ref="A10:F10"/>
    <mergeCell ref="A7:E7"/>
    <mergeCell ref="A1:F1"/>
    <mergeCell ref="A15:D15"/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sqref="A1:E1"/>
    </sheetView>
  </sheetViews>
  <sheetFormatPr defaultRowHeight="15" x14ac:dyDescent="0.25"/>
  <cols>
    <col min="1" max="1" width="35" customWidth="1"/>
    <col min="2" max="2" width="15" customWidth="1"/>
    <col min="3" max="3" width="12" customWidth="1"/>
    <col min="4" max="4" width="15" customWidth="1"/>
    <col min="5" max="5" width="18" customWidth="1"/>
  </cols>
  <sheetData>
    <row r="1" spans="1:5" ht="18.75" x14ac:dyDescent="0.3">
      <c r="A1" s="12" t="s">
        <v>23</v>
      </c>
      <c r="B1" s="9"/>
      <c r="C1" s="9"/>
      <c r="D1" s="9"/>
      <c r="E1" s="9"/>
    </row>
    <row r="3" spans="1:5" ht="15.75" x14ac:dyDescent="0.25">
      <c r="A3" s="8" t="s">
        <v>1</v>
      </c>
      <c r="B3" s="9"/>
      <c r="C3" s="9"/>
      <c r="D3" s="9"/>
      <c r="E3" s="9"/>
    </row>
    <row r="4" spans="1:5" x14ac:dyDescent="0.25">
      <c r="A4" s="1" t="s">
        <v>2</v>
      </c>
      <c r="B4" s="1" t="s">
        <v>24</v>
      </c>
      <c r="C4" s="1" t="s">
        <v>5</v>
      </c>
      <c r="D4" s="1" t="s">
        <v>6</v>
      </c>
      <c r="E4" s="1" t="s">
        <v>7</v>
      </c>
    </row>
    <row r="5" spans="1:5" x14ac:dyDescent="0.25">
      <c r="A5" s="2" t="s">
        <v>25</v>
      </c>
      <c r="B5" s="2" t="s">
        <v>26</v>
      </c>
      <c r="C5" s="3">
        <v>1</v>
      </c>
      <c r="D5" s="2">
        <f>0*C5</f>
        <v>0</v>
      </c>
      <c r="E5" s="4">
        <f>0*C5</f>
        <v>0</v>
      </c>
    </row>
    <row r="6" spans="1:5" x14ac:dyDescent="0.25">
      <c r="A6" s="10" t="s">
        <v>27</v>
      </c>
      <c r="B6" s="11"/>
      <c r="C6" s="11"/>
      <c r="D6" s="11"/>
      <c r="E6" s="5">
        <f>SUM(E5:E5)</f>
        <v>0</v>
      </c>
    </row>
    <row r="8" spans="1:5" ht="15.75" x14ac:dyDescent="0.25">
      <c r="A8" s="8" t="s">
        <v>11</v>
      </c>
      <c r="B8" s="9"/>
      <c r="C8" s="9"/>
      <c r="D8" s="9"/>
      <c r="E8" s="9"/>
    </row>
    <row r="9" spans="1:5" x14ac:dyDescent="0.25">
      <c r="A9" s="1" t="s">
        <v>2</v>
      </c>
      <c r="B9" s="1" t="s">
        <v>12</v>
      </c>
      <c r="C9" s="1" t="s">
        <v>13</v>
      </c>
      <c r="D9" s="1" t="s">
        <v>6</v>
      </c>
      <c r="E9" s="1" t="s">
        <v>7</v>
      </c>
    </row>
    <row r="10" spans="1:5" x14ac:dyDescent="0.25">
      <c r="A10" s="2" t="s">
        <v>28</v>
      </c>
      <c r="B10" s="2">
        <v>0</v>
      </c>
      <c r="C10" s="3">
        <v>1</v>
      </c>
      <c r="D10" s="2">
        <f>B10*C10</f>
        <v>0</v>
      </c>
      <c r="E10" s="4">
        <f>B10*C10</f>
        <v>0</v>
      </c>
    </row>
    <row r="11" spans="1:5" x14ac:dyDescent="0.25">
      <c r="A11" s="2" t="s">
        <v>16</v>
      </c>
      <c r="B11" s="2">
        <v>0.01</v>
      </c>
      <c r="C11" s="3">
        <v>1</v>
      </c>
      <c r="D11" s="2">
        <f>B11*C11</f>
        <v>0.01</v>
      </c>
      <c r="E11" s="4">
        <f>B11*C11</f>
        <v>0.01</v>
      </c>
    </row>
    <row r="12" spans="1:5" x14ac:dyDescent="0.25">
      <c r="A12" s="10" t="s">
        <v>17</v>
      </c>
      <c r="B12" s="11"/>
      <c r="C12" s="11"/>
      <c r="D12" s="11"/>
      <c r="E12" s="5">
        <f>SUM(E10:E11)</f>
        <v>0.01</v>
      </c>
    </row>
    <row r="14" spans="1:5" ht="15.75" x14ac:dyDescent="0.25">
      <c r="A14" s="13" t="s">
        <v>18</v>
      </c>
      <c r="B14" s="11"/>
      <c r="C14" s="11"/>
      <c r="D14" s="11"/>
      <c r="E14" s="6">
        <f>E6+E12</f>
        <v>0.01</v>
      </c>
    </row>
    <row r="16" spans="1:5" x14ac:dyDescent="0.25">
      <c r="A16" s="7" t="s">
        <v>19</v>
      </c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31</v>
      </c>
    </row>
    <row r="20" spans="1:1" x14ac:dyDescent="0.25">
      <c r="A20" t="s">
        <v>20</v>
      </c>
    </row>
  </sheetData>
  <mergeCells count="6">
    <mergeCell ref="A6:D6"/>
    <mergeCell ref="A12:D12"/>
    <mergeCell ref="A1:E1"/>
    <mergeCell ref="A8:E8"/>
    <mergeCell ref="A14:D14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B13" sqref="B13"/>
    </sheetView>
  </sheetViews>
  <sheetFormatPr defaultRowHeight="15" x14ac:dyDescent="0.25"/>
  <cols>
    <col min="1" max="1" width="25" customWidth="1"/>
    <col min="2" max="4" width="18" customWidth="1"/>
  </cols>
  <sheetData>
    <row r="1" spans="1:4" ht="18.75" x14ac:dyDescent="0.3">
      <c r="A1" s="12" t="s">
        <v>32</v>
      </c>
      <c r="B1" s="9"/>
      <c r="C1" s="9"/>
      <c r="D1" s="9"/>
    </row>
    <row r="3" spans="1:4" x14ac:dyDescent="0.25">
      <c r="A3" s="1" t="s">
        <v>2</v>
      </c>
      <c r="B3" s="1" t="s">
        <v>33</v>
      </c>
      <c r="C3" s="1" t="s">
        <v>34</v>
      </c>
      <c r="D3" s="1" t="s">
        <v>35</v>
      </c>
    </row>
    <row r="4" spans="1:4" x14ac:dyDescent="0.25">
      <c r="A4" s="2" t="s">
        <v>36</v>
      </c>
      <c r="B4" s="4">
        <f>'Base Network'!F7</f>
        <v>32.85</v>
      </c>
      <c r="C4" s="4">
        <f>'Base Network'!E15</f>
        <v>0.155</v>
      </c>
      <c r="D4" s="4">
        <f>B4+C4</f>
        <v>33.005000000000003</v>
      </c>
    </row>
    <row r="5" spans="1:4" x14ac:dyDescent="0.25">
      <c r="A5" s="2" t="s">
        <v>37</v>
      </c>
      <c r="B5" s="4">
        <f>'VPC Peering'!E6</f>
        <v>0</v>
      </c>
      <c r="C5" s="4">
        <f>'VPC Peering'!E12</f>
        <v>0.01</v>
      </c>
      <c r="D5" s="4">
        <f>B5+C5</f>
        <v>0.01</v>
      </c>
    </row>
    <row r="7" spans="1:4" ht="15.75" x14ac:dyDescent="0.25">
      <c r="A7" s="13" t="s">
        <v>38</v>
      </c>
      <c r="B7" s="11"/>
      <c r="C7" s="11"/>
      <c r="D7" s="6">
        <f>SUM(D4:D5)</f>
        <v>33.015000000000001</v>
      </c>
    </row>
  </sheetData>
  <mergeCells count="2">
    <mergeCell ref="A1:D1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Network</vt:lpstr>
      <vt:lpstr>VPC Peering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Aakash Kumar</cp:lastModifiedBy>
  <dcterms:created xsi:type="dcterms:W3CDTF">2025-12-06T21:43:25Z</dcterms:created>
  <dcterms:modified xsi:type="dcterms:W3CDTF">2025-12-06T22:00:30Z</dcterms:modified>
</cp:coreProperties>
</file>