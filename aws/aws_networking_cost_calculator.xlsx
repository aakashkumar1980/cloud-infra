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se Network" sheetId="1" state="visible" r:id="rId1"/>
    <sheet name="VPC Peering" sheetId="2" state="visible" r:id="rId2"/>
    <sheet name="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2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D9E2F3"/>
        <bgColor rgb="00D9E2F3"/>
      </patternFill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FC000"/>
        <bgColor rgb="00FFC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1" applyAlignment="1" pivotButton="0" quotePrefix="0" xfId="0">
      <alignment horizontal="center"/>
    </xf>
    <xf numFmtId="0" fontId="0" fillId="0" borderId="1" pivotButton="0" quotePrefix="0" xfId="0"/>
    <xf numFmtId="0" fontId="0" fillId="4" borderId="1" pivotButton="0" quotePrefix="0" xfId="0"/>
    <xf numFmtId="164" fontId="0" fillId="0" borderId="1" pivotButton="0" quotePrefix="0" xfId="0"/>
    <xf numFmtId="0" fontId="4" fillId="0" borderId="1" pivotButton="0" quotePrefix="0" xfId="0"/>
    <xf numFmtId="164" fontId="4" fillId="5" borderId="1" pivotButton="0" quotePrefix="0" xfId="0"/>
    <xf numFmtId="164" fontId="4" fillId="0" borderId="1" pivotButton="0" quotePrefix="0" xfId="0"/>
    <xf numFmtId="0" fontId="2" fillId="5" borderId="1" pivotButton="0" quotePrefix="0" xfId="0"/>
    <xf numFmtId="164" fontId="2" fillId="5" borderId="1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4" customWidth="1" min="3" max="3"/>
    <col width="12" customWidth="1" min="4" max="4"/>
    <col width="20" customWidth="1" min="5" max="5"/>
    <col width="18" customWidth="1" min="6" max="6"/>
  </cols>
  <sheetData>
    <row r="1">
      <c r="A1" s="1" t="inlineStr">
        <is>
          <t>AWS Base Network Cost Calculator</t>
        </is>
      </c>
    </row>
    <row r="3">
      <c r="A3" s="2" t="inlineStr">
        <is>
          <t>FIXED MONTHLY COSTS</t>
        </is>
      </c>
    </row>
    <row r="4">
      <c r="A4" s="3" t="inlineStr">
        <is>
          <t>Component</t>
        </is>
      </c>
      <c r="B4" s="3" t="inlineStr">
        <is>
          <t>Unit Rate ($/hr)</t>
        </is>
      </c>
      <c r="C4" s="3" t="inlineStr">
        <is>
          <t>Hours/Month</t>
        </is>
      </c>
      <c r="D4" s="3" t="inlineStr">
        <is>
          <t>Quantity</t>
        </is>
      </c>
      <c r="E4" s="3" t="inlineStr">
        <is>
          <t>Formula</t>
        </is>
      </c>
      <c r="F4" s="3" t="inlineStr">
        <is>
          <t>Monthly Cost ($)</t>
        </is>
      </c>
    </row>
    <row r="5">
      <c r="A5" s="4" t="inlineStr">
        <is>
          <t>NAT Gateway</t>
        </is>
      </c>
      <c r="B5" s="4" t="n">
        <v>0.045</v>
      </c>
      <c r="C5" s="4" t="n">
        <v>730</v>
      </c>
      <c r="D5" s="5" t="n">
        <v>1</v>
      </c>
      <c r="E5" s="4">
        <f>B5*C5*D5</f>
        <v/>
      </c>
      <c r="F5" s="6">
        <f>B5*C5*D5</f>
        <v/>
      </c>
    </row>
    <row r="6">
      <c r="A6" s="4" t="inlineStr">
        <is>
          <t>Elastic IP (attached to NAT GW)</t>
        </is>
      </c>
      <c r="B6" s="4" t="n">
        <v>0</v>
      </c>
      <c r="C6" s="4" t="n">
        <v>730</v>
      </c>
      <c r="D6" s="5" t="n">
        <v>1</v>
      </c>
      <c r="E6" s="4">
        <f>B6*C6*D6</f>
        <v/>
      </c>
      <c r="F6" s="6">
        <f>B6*C6*D6</f>
        <v/>
      </c>
    </row>
    <row r="7">
      <c r="A7" s="7" t="inlineStr">
        <is>
          <t>Subtotal (Per NAT Gateway)</t>
        </is>
      </c>
      <c r="B7" s="4" t="n"/>
      <c r="C7" s="4" t="n"/>
      <c r="D7" s="4" t="n"/>
      <c r="E7" s="4" t="n"/>
      <c r="F7" s="8">
        <f>SUM(F5:F6)</f>
        <v/>
      </c>
    </row>
    <row r="9">
      <c r="A9" s="4" t="inlineStr">
        <is>
          <t>Total NAT Gateways</t>
        </is>
      </c>
      <c r="D9" s="5" t="n">
        <v>1</v>
      </c>
      <c r="F9" s="9">
        <f>F7*D9</f>
        <v/>
      </c>
    </row>
    <row r="11">
      <c r="A11" s="2" t="inlineStr">
        <is>
          <t>VARIABLE MONTHLY COSTS</t>
        </is>
      </c>
    </row>
    <row r="12">
      <c r="A12" s="3" t="inlineStr">
        <is>
          <t>Component</t>
        </is>
      </c>
      <c r="B12" s="3" t="inlineStr">
        <is>
          <t>Rate ($/GB)</t>
        </is>
      </c>
      <c r="C12" s="3" t="inlineStr">
        <is>
          <t>Data (GB)</t>
        </is>
      </c>
      <c r="D12" s="3" t="inlineStr">
        <is>
          <t>Formula</t>
        </is>
      </c>
      <c r="E12" s="3" t="inlineStr">
        <is>
          <t>Monthly Cost ($)</t>
        </is>
      </c>
    </row>
    <row r="13">
      <c r="A13" s="4" t="inlineStr">
        <is>
          <t>NAT Gateway Data Processing</t>
        </is>
      </c>
      <c r="B13" s="4" t="n">
        <v>0.045</v>
      </c>
      <c r="C13" s="5" t="n">
        <v>1</v>
      </c>
      <c r="D13" s="4">
        <f>B13*C13</f>
        <v/>
      </c>
      <c r="E13" s="6">
        <f>B13*C13*D9</f>
        <v/>
      </c>
    </row>
    <row r="14">
      <c r="A14" s="4" t="inlineStr">
        <is>
          <t>Data Transfer Out (first 10TB)</t>
        </is>
      </c>
      <c r="B14" s="4" t="n">
        <v>0.09</v>
      </c>
      <c r="C14" s="5" t="n">
        <v>1</v>
      </c>
      <c r="D14" s="4">
        <f>B14*C14</f>
        <v/>
      </c>
      <c r="E14" s="6">
        <f>B14*C14</f>
        <v/>
      </c>
    </row>
    <row r="15">
      <c r="A15" s="4" t="inlineStr">
        <is>
          <t>Cross-Region Data Transfer</t>
        </is>
      </c>
      <c r="B15" s="4" t="n">
        <v>0.02</v>
      </c>
      <c r="C15" s="5" t="n">
        <v>1</v>
      </c>
      <c r="D15" s="4">
        <f>B15*C15</f>
        <v/>
      </c>
      <c r="E15" s="6">
        <f>B15*C15</f>
        <v/>
      </c>
    </row>
    <row r="16">
      <c r="A16" s="7" t="inlineStr">
        <is>
          <t>Variable Subtotal</t>
        </is>
      </c>
      <c r="B16" s="4" t="n"/>
      <c r="C16" s="4" t="n"/>
      <c r="D16" s="4" t="n"/>
      <c r="E16" s="8">
        <f>SUM(E13:E15)</f>
        <v/>
      </c>
    </row>
    <row r="18">
      <c r="A18" s="10" t="inlineStr">
        <is>
          <t>TOTAL MONTHLY COST</t>
        </is>
      </c>
      <c r="B18" s="4" t="n"/>
      <c r="C18" s="4" t="n"/>
      <c r="D18" s="4" t="n"/>
      <c r="E18" s="4" t="n"/>
      <c r="F18" s="11">
        <f>F9+E16</f>
        <v/>
      </c>
    </row>
    <row r="20">
      <c r="A20" s="12" t="inlineStr">
        <is>
          <t>Notes:</t>
        </is>
      </c>
    </row>
    <row r="21">
      <c r="A21" t="inlineStr">
        <is>
          <t>• Green cells are inputs - modify these values</t>
        </is>
      </c>
    </row>
    <row r="22">
      <c r="A22" t="inlineStr">
        <is>
          <t>• Prices are for us-east-1 region</t>
        </is>
      </c>
    </row>
    <row r="23">
      <c r="A23" t="inlineStr">
        <is>
          <t>• NAT Gateway Data Processing is multiplied by number of NAT Gateways</t>
        </is>
      </c>
    </row>
  </sheetData>
  <mergeCells count="6">
    <mergeCell ref="A11:F11"/>
    <mergeCell ref="A7:E7"/>
    <mergeCell ref="A1:F1"/>
    <mergeCell ref="A16:D16"/>
    <mergeCell ref="A3:F3"/>
    <mergeCell ref="A18:E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2" customWidth="1" min="3" max="3"/>
    <col width="15" customWidth="1" min="4" max="4"/>
    <col width="18" customWidth="1" min="5" max="5"/>
  </cols>
  <sheetData>
    <row r="1">
      <c r="A1" s="1" t="inlineStr">
        <is>
          <t>VPC Peering Cost Calculator</t>
        </is>
      </c>
    </row>
    <row r="3">
      <c r="A3" s="2" t="inlineStr">
        <is>
          <t>FIXED MONTHLY COSTS</t>
        </is>
      </c>
    </row>
    <row r="4">
      <c r="A4" s="3" t="inlineStr">
        <is>
          <t>Component</t>
        </is>
      </c>
      <c r="B4" s="3" t="inlineStr">
        <is>
          <t>Rate</t>
        </is>
      </c>
      <c r="C4" s="3" t="inlineStr">
        <is>
          <t>Quantity</t>
        </is>
      </c>
      <c r="D4" s="3" t="inlineStr">
        <is>
          <t>Formula</t>
        </is>
      </c>
      <c r="E4" s="3" t="inlineStr">
        <is>
          <t>Monthly Cost ($)</t>
        </is>
      </c>
    </row>
    <row r="5">
      <c r="A5" s="4" t="inlineStr">
        <is>
          <t>VPC Peering Connection</t>
        </is>
      </c>
      <c r="B5" s="4" t="inlineStr">
        <is>
          <t>Free</t>
        </is>
      </c>
      <c r="C5" s="5" t="n">
        <v>1</v>
      </c>
      <c r="D5" s="4">
        <f>0*C5</f>
        <v/>
      </c>
      <c r="E5" s="6">
        <f>0*C5</f>
        <v/>
      </c>
    </row>
    <row r="6">
      <c r="A6" s="7" t="inlineStr">
        <is>
          <t>Fixed Subtotal</t>
        </is>
      </c>
      <c r="B6" s="4" t="n"/>
      <c r="C6" s="4" t="n"/>
      <c r="D6" s="4" t="n"/>
      <c r="E6" s="8">
        <f>SUM(E5:E5)</f>
        <v/>
      </c>
    </row>
    <row r="8">
      <c r="A8" s="2" t="inlineStr">
        <is>
          <t>VARIABLE MONTHLY COSTS</t>
        </is>
      </c>
    </row>
    <row r="9">
      <c r="A9" s="3" t="inlineStr">
        <is>
          <t>Component</t>
        </is>
      </c>
      <c r="B9" s="3" t="inlineStr">
        <is>
          <t>Rate ($/GB)</t>
        </is>
      </c>
      <c r="C9" s="3" t="inlineStr">
        <is>
          <t>Data (GB)</t>
        </is>
      </c>
      <c r="D9" s="3" t="inlineStr">
        <is>
          <t>Formula</t>
        </is>
      </c>
      <c r="E9" s="3" t="inlineStr">
        <is>
          <t>Monthly Cost ($)</t>
        </is>
      </c>
    </row>
    <row r="10">
      <c r="A10" s="4" t="inlineStr">
        <is>
          <t>Same Region Data Transfer</t>
        </is>
      </c>
      <c r="B10" s="4" t="n">
        <v>0</v>
      </c>
      <c r="C10" s="5" t="n">
        <v>1</v>
      </c>
      <c r="D10" s="4">
        <f>B10*C10</f>
        <v/>
      </c>
      <c r="E10" s="6">
        <f>B10*C10</f>
        <v/>
      </c>
    </row>
    <row r="11">
      <c r="A11" s="4" t="inlineStr">
        <is>
          <t>Cross-Region Data Transfer</t>
        </is>
      </c>
      <c r="B11" s="4" t="n">
        <v>0.01</v>
      </c>
      <c r="C11" s="5" t="n">
        <v>1</v>
      </c>
      <c r="D11" s="4">
        <f>B11*C11</f>
        <v/>
      </c>
      <c r="E11" s="6">
        <f>B11*C11</f>
        <v/>
      </c>
    </row>
    <row r="12">
      <c r="A12" s="7" t="inlineStr">
        <is>
          <t>Variable Subtotal</t>
        </is>
      </c>
      <c r="B12" s="4" t="n"/>
      <c r="C12" s="4" t="n"/>
      <c r="D12" s="4" t="n"/>
      <c r="E12" s="8">
        <f>SUM(E10:E11)</f>
        <v/>
      </c>
    </row>
    <row r="14">
      <c r="A14" s="10" t="inlineStr">
        <is>
          <t>TOTAL MONTHLY COST</t>
        </is>
      </c>
      <c r="B14" s="4" t="n"/>
      <c r="C14" s="4" t="n"/>
      <c r="D14" s="4" t="n"/>
      <c r="E14" s="11">
        <f>E6+E12</f>
        <v/>
      </c>
    </row>
    <row r="16">
      <c r="A16" s="12" t="inlineStr">
        <is>
          <t>Notes:</t>
        </is>
      </c>
    </row>
    <row r="17">
      <c r="A17" t="inlineStr">
        <is>
          <t>• VPC Peering itself is FREE</t>
        </is>
      </c>
    </row>
    <row r="18">
      <c r="A18" t="inlineStr">
        <is>
          <t>• Same-region data transfer is FREE</t>
        </is>
      </c>
    </row>
    <row r="19">
      <c r="A19" t="inlineStr">
        <is>
          <t>• Cross-region peering: $0.01/GB each direction</t>
        </is>
      </c>
    </row>
    <row r="20">
      <c r="A20" t="inlineStr">
        <is>
          <t>• Green cells are inputs - modify these values</t>
        </is>
      </c>
    </row>
  </sheetData>
  <mergeCells count="6">
    <mergeCell ref="A6:D6"/>
    <mergeCell ref="A12:D12"/>
    <mergeCell ref="A1:E1"/>
    <mergeCell ref="A8:E8"/>
    <mergeCell ref="A14:D14"/>
    <mergeCell ref="A3:E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AWS Networking Cost Summary</t>
        </is>
      </c>
    </row>
    <row r="3">
      <c r="A3" s="3" t="inlineStr">
        <is>
          <t>Component</t>
        </is>
      </c>
      <c r="B3" s="3" t="inlineStr">
        <is>
          <t>Fixed Cost ($)</t>
        </is>
      </c>
      <c r="C3" s="3" t="inlineStr">
        <is>
          <t>Variable Cost ($)</t>
        </is>
      </c>
      <c r="D3" s="3" t="inlineStr">
        <is>
          <t>Total Cost ($)</t>
        </is>
      </c>
    </row>
    <row r="4">
      <c r="A4" s="4" t="inlineStr">
        <is>
          <t>Base Network</t>
        </is>
      </c>
      <c r="B4" s="6">
        <f>'Base Network'!F9</f>
        <v/>
      </c>
      <c r="C4" s="6">
        <f>'Base Network'!E16</f>
        <v/>
      </c>
      <c r="D4" s="6">
        <f>B4+C4</f>
        <v/>
      </c>
    </row>
    <row r="5">
      <c r="A5" s="4" t="inlineStr">
        <is>
          <t>VPC Peering</t>
        </is>
      </c>
      <c r="B5" s="6">
        <f>'VPC Peering'!E6</f>
        <v/>
      </c>
      <c r="C5" s="6">
        <f>'VPC Peering'!E12</f>
        <v/>
      </c>
      <c r="D5" s="6">
        <f>B5+C5</f>
        <v/>
      </c>
    </row>
    <row r="7">
      <c r="A7" s="10" t="inlineStr">
        <is>
          <t>GRAND TOTAL</t>
        </is>
      </c>
      <c r="B7" s="4" t="n"/>
      <c r="C7" s="4" t="n"/>
      <c r="D7" s="11">
        <f>SUM(D4:D5)</f>
        <v/>
      </c>
    </row>
  </sheetData>
  <mergeCells count="2">
    <mergeCell ref="A1:D1"/>
    <mergeCell ref="A7:C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2025-12-06T21:43:25Z</dcterms:created>
  <dcterms:modified xsi:type="dcterms:W3CDTF">2025-12-06T21:43:25Z</dcterms:modified>
</cp:coreProperties>
</file>