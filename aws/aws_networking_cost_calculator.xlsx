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9c0be9037e15b1e3/Desktop/cloud-infra/aws/"/>
    </mc:Choice>
  </mc:AlternateContent>
  <xr:revisionPtr revIDLastSave="199" documentId="11_0A9C2C5439D7481D767C52C536A4F9169820EF8F" xr6:coauthVersionLast="47" xr6:coauthVersionMax="47" xr10:uidLastSave="{675471B1-1768-4C7D-AE81-1201B9EFB5E7}"/>
  <bookViews>
    <workbookView xWindow="-120" yWindow="-120" windowWidth="23280" windowHeight="12600" xr2:uid="{00000000-000D-0000-FFFF-FFFF00000000}"/>
  </bookViews>
  <sheets>
    <sheet name="Base Network" sheetId="1" r:id="rId1"/>
    <sheet name="VPC Peering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2" l="1"/>
  <c r="E6" i="2"/>
  <c r="F15" i="1"/>
  <c r="F14" i="1"/>
  <c r="F13" i="1"/>
  <c r="F8" i="1"/>
  <c r="F7" i="1"/>
  <c r="E8" i="2" l="1"/>
  <c r="F16" i="1"/>
  <c r="F9" i="1"/>
  <c r="E10" i="2" l="1"/>
  <c r="C6" i="3" s="1"/>
  <c r="F18" i="1"/>
  <c r="C5" i="3" s="1"/>
  <c r="C7" i="3" l="1"/>
</calcChain>
</file>

<file path=xl/sharedStrings.xml><?xml version="1.0" encoding="utf-8"?>
<sst xmlns="http://schemas.openxmlformats.org/spreadsheetml/2006/main" count="56" uniqueCount="43">
  <si>
    <t>AWS Base Network Data Transfer Costs</t>
  </si>
  <si>
    <t>(Within Region - Zone to Zone)</t>
  </si>
  <si>
    <t>DATA TRANSFER COSTS</t>
  </si>
  <si>
    <t>Scenario</t>
  </si>
  <si>
    <t>Data (GB)</t>
  </si>
  <si>
    <t>Monthly Cost ($)</t>
  </si>
  <si>
    <t>Same AZ (private IP)</t>
  </si>
  <si>
    <t>Cross-AZ (same region) - round trip</t>
  </si>
  <si>
    <t>Data Transfer Subtotal</t>
  </si>
  <si>
    <t>NAT GATEWAY COSTS (for internet access)</t>
  </si>
  <si>
    <t>Component</t>
  </si>
  <si>
    <t>Rate</t>
  </si>
  <si>
    <t>NAT Gateway Data Processing</t>
  </si>
  <si>
    <t>Data Transfer Out to Internet (first 10TB)</t>
  </si>
  <si>
    <t>NAT Gateway Subtotal</t>
  </si>
  <si>
    <t>TOTAL MONTHLY COST</t>
  </si>
  <si>
    <t>Notes:</t>
  </si>
  <si>
    <t>• Same AZ with private IP is FREE</t>
  </si>
  <si>
    <t>• Cross-AZ is $0.01/GB per direction ($0.02/GB round-trip)</t>
  </si>
  <si>
    <t>• NAT Gateway: $0.045/hr + $0.045/GB processing</t>
  </si>
  <si>
    <t>• Data Transfer Out to Internet: $0.09/GB (first 10TB)</t>
  </si>
  <si>
    <t>• Green cells are inputs - modify as needed</t>
  </si>
  <si>
    <t>VPC Peering Cost Calculator</t>
  </si>
  <si>
    <t>(Costs SPECIFIC to VPC Peering component only)</t>
  </si>
  <si>
    <t>Peering Cost ($/GB)</t>
  </si>
  <si>
    <t>TOTAL VPC PEERING COST</t>
  </si>
  <si>
    <t>• VPC Peering connection itself is FREE (no hourly charge)</t>
  </si>
  <si>
    <t>• 01_same_region: $0 additional peering cost</t>
  </si>
  <si>
    <t xml:space="preserve">  (you only pay Base Network data transfer costs)</t>
  </si>
  <si>
    <t>• 02_different_region: $0.02/GB peering cost</t>
  </si>
  <si>
    <t xml:space="preserve">  (varies $0.02-$0.05 depending on region pair)</t>
  </si>
  <si>
    <t>AWS Networking Cost Summary</t>
  </si>
  <si>
    <t>Base Network</t>
  </si>
  <si>
    <t>VPC Peering</t>
  </si>
  <si>
    <t>NAT Gateway Usage</t>
  </si>
  <si>
    <t>$/GB</t>
  </si>
  <si>
    <t>Unit</t>
  </si>
  <si>
    <t>$/HR</t>
  </si>
  <si>
    <t>Usage</t>
  </si>
  <si>
    <t>Same Region</t>
  </si>
  <si>
    <t>Cross-Region</t>
  </si>
  <si>
    <t>Components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</si>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</sst>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4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</font>
    <font>
      <sz val="12"/>
      <name val="Calibri"/>
      <family val="2"/>
    </font>
    <font>
      <b/>
      <sz val="12"/>
      <color rgb="FFFF0000"/>
      <name val="Calibri"/>
      <family val="2"/>
    </font>
    <font>
      <sz val="8"/>
      <name val="Calibri"/>
      <family val="2"/>
      <scheme val="minor"/>
    </font>
    <font>
      <b/>
      <sz val="18"/>
      <color theme="0"/>
      <name val="Calibri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2" fillId="0" borderId="0" applyNumberFormat="0" applyFill="0" applyBorder="0" applyAlignment="0" applyProtection="0"/>
    <xf numFmtId="0" fontId="3" fillId="0" borderId="4" applyNumberFormat="0" applyFill="0" applyAlignment="0" applyProtection="0"/>
    <xf numFmtId="0" fontId="4" fillId="0" borderId="5" applyNumberFormat="0" applyFill="0" applyAlignment="0" applyProtection="0"/>
    <xf numFmtId="0" fontId="5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7" fillId="3" borderId="0" applyNumberFormat="0" applyBorder="0" applyAlignment="0" applyProtection="0"/>
  </cellStyleXfs>
  <cellXfs count="47">
    <xf numFmtId="0" fontId="0" fillId="0" borderId="0" xfId="0"/>
    <xf numFmtId="0" fontId="6" fillId="0" borderId="0" xfId="0" applyFont="1" applyFill="1"/>
    <xf numFmtId="0" fontId="0" fillId="0" borderId="0" xfId="0" applyFont="1" applyFill="1" applyBorder="1"/>
    <xf numFmtId="0" fontId="3" fillId="0" borderId="4" xfId="2" applyFill="1"/>
    <xf numFmtId="0" fontId="5" fillId="0" borderId="0" xfId="4" applyFill="1" applyBorder="1"/>
    <xf numFmtId="0" fontId="0" fillId="0" borderId="8" xfId="0" applyBorder="1"/>
    <xf numFmtId="0" fontId="0" fillId="0" borderId="9" xfId="0" applyBorder="1"/>
    <xf numFmtId="0" fontId="0" fillId="0" borderId="0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" xfId="0" applyFont="1" applyFill="1" applyBorder="1"/>
    <xf numFmtId="0" fontId="0" fillId="0" borderId="2" xfId="0" applyFont="1" applyFill="1" applyBorder="1"/>
    <xf numFmtId="0" fontId="0" fillId="0" borderId="14" xfId="0" applyFont="1" applyFill="1" applyBorder="1"/>
    <xf numFmtId="0" fontId="7" fillId="2" borderId="1" xfId="5" applyBorder="1"/>
    <xf numFmtId="0" fontId="7" fillId="2" borderId="2" xfId="5" applyBorder="1"/>
    <xf numFmtId="0" fontId="7" fillId="2" borderId="14" xfId="5" applyBorder="1"/>
    <xf numFmtId="0" fontId="7" fillId="3" borderId="1" xfId="6" applyBorder="1"/>
    <xf numFmtId="0" fontId="7" fillId="3" borderId="2" xfId="6" applyBorder="1"/>
    <xf numFmtId="0" fontId="7" fillId="3" borderId="14" xfId="6" applyBorder="1"/>
    <xf numFmtId="0" fontId="0" fillId="0" borderId="2" xfId="0" applyFont="1" applyFill="1" applyBorder="1" applyAlignment="1">
      <alignment horizontal="right"/>
    </xf>
    <xf numFmtId="0" fontId="0" fillId="0" borderId="12" xfId="0" applyBorder="1" applyAlignment="1">
      <alignment horizontal="right"/>
    </xf>
    <xf numFmtId="0" fontId="4" fillId="0" borderId="7" xfId="3" applyFill="1" applyBorder="1"/>
    <xf numFmtId="0" fontId="8" fillId="0" borderId="3" xfId="0" applyFont="1" applyFill="1" applyBorder="1" applyAlignment="1">
      <alignment horizontal="center"/>
    </xf>
    <xf numFmtId="0" fontId="1" fillId="0" borderId="9" xfId="0" applyFont="1" applyFill="1" applyBorder="1"/>
    <xf numFmtId="0" fontId="0" fillId="0" borderId="10" xfId="0" applyFont="1" applyFill="1" applyBorder="1"/>
    <xf numFmtId="0" fontId="9" fillId="0" borderId="9" xfId="0" applyFont="1" applyFill="1" applyBorder="1" applyAlignment="1">
      <alignment horizontal="left"/>
    </xf>
    <xf numFmtId="164" fontId="9" fillId="0" borderId="10" xfId="0" applyNumberFormat="1" applyFont="1" applyFill="1" applyBorder="1"/>
    <xf numFmtId="0" fontId="0" fillId="0" borderId="9" xfId="0" applyFont="1" applyFill="1" applyBorder="1"/>
    <xf numFmtId="0" fontId="4" fillId="0" borderId="9" xfId="3" applyFill="1" applyBorder="1"/>
    <xf numFmtId="0" fontId="2" fillId="0" borderId="11" xfId="1" applyFill="1" applyBorder="1" applyAlignment="1">
      <alignment horizontal="center"/>
    </xf>
    <xf numFmtId="0" fontId="2" fillId="0" borderId="12" xfId="1" applyFill="1" applyBorder="1" applyAlignment="1">
      <alignment horizontal="center"/>
    </xf>
    <xf numFmtId="0" fontId="0" fillId="0" borderId="0" xfId="0" applyFont="1" applyFill="1" applyBorder="1" applyAlignment="1">
      <alignment horizontal="right"/>
    </xf>
    <xf numFmtId="164" fontId="10" fillId="0" borderId="14" xfId="0" applyNumberFormat="1" applyFont="1" applyFill="1" applyBorder="1"/>
    <xf numFmtId="164" fontId="10" fillId="0" borderId="6" xfId="0" applyNumberFormat="1" applyFont="1" applyFill="1" applyBorder="1"/>
    <xf numFmtId="0" fontId="2" fillId="0" borderId="11" xfId="1" applyFill="1" applyBorder="1" applyAlignment="1"/>
    <xf numFmtId="164" fontId="12" fillId="4" borderId="6" xfId="0" applyNumberFormat="1" applyFont="1" applyFill="1" applyBorder="1"/>
    <xf numFmtId="0" fontId="0" fillId="0" borderId="7" xfId="0" applyFont="1" applyFill="1" applyBorder="1"/>
    <xf numFmtId="0" fontId="0" fillId="0" borderId="3" xfId="0" applyFont="1" applyFill="1" applyBorder="1"/>
    <xf numFmtId="164" fontId="0" fillId="0" borderId="8" xfId="0" applyNumberFormat="1" applyFont="1" applyFill="1" applyBorder="1"/>
    <xf numFmtId="0" fontId="0" fillId="0" borderId="9" xfId="0" applyFont="1" applyFill="1" applyBorder="1" applyAlignment="1">
      <alignment horizontal="left"/>
    </xf>
    <xf numFmtId="164" fontId="1" fillId="0" borderId="10" xfId="0" applyNumberFormat="1" applyFont="1" applyFill="1" applyBorder="1"/>
    <xf numFmtId="0" fontId="13" fillId="0" borderId="7" xfId="0" applyFont="1" applyFill="1" applyBorder="1" applyAlignment="1">
      <alignment horizontal="left"/>
    </xf>
    <xf numFmtId="0" fontId="13" fillId="0" borderId="8" xfId="0" applyFont="1" applyFill="1" applyBorder="1" applyAlignment="1">
      <alignment horizontal="left"/>
    </xf>
    <xf numFmtId="0" fontId="6" fillId="0" borderId="9" xfId="0" applyFont="1" applyFill="1" applyBorder="1" applyAlignment="1">
      <alignment horizontal="left"/>
    </xf>
    <xf numFmtId="164" fontId="6" fillId="0" borderId="10" xfId="0" applyNumberFormat="1" applyFont="1" applyFill="1" applyBorder="1" applyAlignment="1">
      <alignment horizontal="left"/>
    </xf>
  </cellXfs>
  <cellStyles count="7">
    <cellStyle name="Accent1" xfId="5" builtinId="29"/>
    <cellStyle name="Accent2" xfId="6" builtinId="33"/>
    <cellStyle name="Explanatory Text" xfId="4" builtinId="53"/>
    <cellStyle name="Heading 1" xfId="2" builtinId="16"/>
    <cellStyle name="Heading 2" xfId="3" builtinId="17"/>
    <cellStyle name="Normal" xfId="0" builtinId="0"/>
    <cellStyle name="Title" xfId="1" builtinId="15"/>
  </cellStyles>
  <dxfs count="16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diagonalUp="0" diagonalDown="0">
        <left/>
        <right/>
        <top/>
        <bottom/>
        <vertical/>
        <horizontal/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/>
        <bottom/>
        <vertical/>
        <horizontal/>
      </border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A71D8B-D8FA-4E8E-9ED9-8A3745297E1C}" name="Table1" displayName="Table1" ref="B6:F9" totalsRowShown="0" headerRowDxfId="13" headerRowBorderDxfId="14" tableBorderDxfId="15">
  <tableColumns count="5">
    <tableColumn id="1" xr3:uid="{BD42B09D-2671-4D2D-A066-979DC30DA2E1}" name="Scenario"/>
    <tableColumn id="2" xr3:uid="{914D369A-8999-45EB-A303-F6B158EAEF2E}" name="Rate" dataDxfId="9"/>
    <tableColumn id="9" xr3:uid="{B0A9C20B-F422-4E9F-8556-00EAA0B834B9}" name="Unit"/>
    <tableColumn id="3" xr3:uid="{2F324E7F-BFA3-47B4-95A3-EA9693D6C1A4}" name="Data (GB)" dataDxfId="8"/>
    <tableColumn id="4" xr3:uid="{25E1E428-2BAA-4C5E-8BDD-2660F6328081}" name="Monthly Cost ($)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593615-61D1-409B-8A38-4E66B345BA29}" name="Table2" displayName="Table2" ref="B12:F16" totalsRowShown="0" headerRowDxfId="11" headerRowBorderDxfId="12" tableBorderDxfId="10" headerRowCellStyle="Normal" dataCellStyle="Normal">
  <tableColumns count="5">
    <tableColumn id="1" xr3:uid="{B3A95DFD-2F5C-4C0B-AE21-A5FBEBC5F756}" name="Component" dataCellStyle="Normal"/>
    <tableColumn id="2" xr3:uid="{6A32E01B-9824-4BB7-8B6C-299672DC37D4}" name="Rate" dataCellStyle="Normal"/>
    <tableColumn id="5" xr3:uid="{5B2B0424-4230-41F6-BD08-908556A0A14F}" name="Unit"/>
    <tableColumn id="3" xr3:uid="{C0B481CD-CAFB-42DB-BB89-2C3EDB123952}" name="Usage" dataCellStyle="Normal"/>
    <tableColumn id="4" xr3:uid="{F77400E4-FCA6-4E5D-9A25-96FD3C8ADB88}" name="Monthly Cost ($)" dataCellStyle="Normal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CAA6F4-CDC8-460B-AF5A-E1D5DEA2BDC3}" name="Table3" displayName="Table3" ref="B5:E8" totalsRowShown="0" headerRowDxfId="7" tableBorderDxfId="6">
  <tableColumns count="4">
    <tableColumn id="1" xr3:uid="{81492878-9024-414F-91B3-A9A806EF3C0A}" name="Scenario"/>
    <tableColumn id="2" xr3:uid="{1CA5F435-DC66-4D88-827C-A31254705F9F}" name="Peering Cost ($/GB)"/>
    <tableColumn id="3" xr3:uid="{FD19F9F9-0693-477E-AB5F-3E378114F822}" name="Data (GB)" dataDxfId="5"/>
    <tableColumn id="4" xr3:uid="{6423F69D-C09D-4341-AB17-ED76C32D5E59}" name="Monthly Cost ($)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AD5C134-824F-4C26-9183-4E3330C1CCEA}" name="Table5" displayName="Table5" ref="B4:C6" totalsRowShown="0" headerRowDxfId="4" dataDxfId="3" tableBorderDxfId="2">
  <tableColumns count="2">
    <tableColumn id="1" xr3:uid="{51436979-8C2E-4DE4-83D3-E08B091A2D47}" name="Components" dataDxfId="1"/>
    <tableColumn id="2" xr3:uid="{801C0F04-9658-49AD-BFE7-079B085BCFA1}" name="Cost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5"/>
  <sheetViews>
    <sheetView tabSelected="1" workbookViewId="0">
      <selection activeCell="C21" sqref="C21"/>
    </sheetView>
  </sheetViews>
  <sheetFormatPr defaultRowHeight="15" x14ac:dyDescent="0.25"/>
  <cols>
    <col min="2" max="2" width="52.85546875" bestFit="1" customWidth="1"/>
    <col min="3" max="3" width="23.5703125" bestFit="1" customWidth="1"/>
    <col min="4" max="4" width="15.5703125" customWidth="1"/>
    <col min="5" max="5" width="17.85546875" customWidth="1"/>
    <col min="6" max="6" width="15.85546875" bestFit="1" customWidth="1"/>
    <col min="8" max="8" width="9.85546875" customWidth="1"/>
  </cols>
  <sheetData>
    <row r="2" spans="2:6" ht="20.25" thickBot="1" x14ac:dyDescent="0.35">
      <c r="B2" s="3" t="s">
        <v>0</v>
      </c>
      <c r="C2" s="2"/>
      <c r="D2" s="2"/>
      <c r="E2" s="2"/>
    </row>
    <row r="3" spans="2:6" ht="15.75" thickTop="1" x14ac:dyDescent="0.25">
      <c r="B3" s="4" t="s">
        <v>1</v>
      </c>
      <c r="C3" s="2"/>
      <c r="D3" s="2"/>
      <c r="E3" s="2"/>
    </row>
    <row r="4" spans="2:6" ht="15.75" thickBot="1" x14ac:dyDescent="0.3">
      <c r="B4" s="4"/>
      <c r="C4" s="2"/>
      <c r="D4" s="2"/>
      <c r="E4" s="2"/>
    </row>
    <row r="5" spans="2:6" ht="18" thickBot="1" x14ac:dyDescent="0.35">
      <c r="B5" s="23" t="s">
        <v>2</v>
      </c>
      <c r="C5" s="24"/>
      <c r="D5" s="24"/>
      <c r="E5" s="24"/>
      <c r="F5" s="5"/>
    </row>
    <row r="6" spans="2:6" ht="15.75" thickBot="1" x14ac:dyDescent="0.3">
      <c r="B6" s="12" t="s">
        <v>3</v>
      </c>
      <c r="C6" s="21" t="s">
        <v>11</v>
      </c>
      <c r="D6" s="13" t="s">
        <v>36</v>
      </c>
      <c r="E6" s="13" t="s">
        <v>4</v>
      </c>
      <c r="F6" s="14" t="s">
        <v>5</v>
      </c>
    </row>
    <row r="7" spans="2:6" x14ac:dyDescent="0.25">
      <c r="B7" s="25" t="s">
        <v>6</v>
      </c>
      <c r="C7" s="2">
        <v>0</v>
      </c>
      <c r="D7" s="2" t="s">
        <v>35</v>
      </c>
      <c r="E7" s="2">
        <v>1</v>
      </c>
      <c r="F7" s="26">
        <f>C7*E7</f>
        <v>0</v>
      </c>
    </row>
    <row r="8" spans="2:6" ht="16.5" thickBot="1" x14ac:dyDescent="0.3">
      <c r="B8" s="27" t="s">
        <v>7</v>
      </c>
      <c r="C8" s="2">
        <v>0.02</v>
      </c>
      <c r="D8" s="2" t="s">
        <v>35</v>
      </c>
      <c r="E8" s="2">
        <v>1</v>
      </c>
      <c r="F8" s="28">
        <f>C8*E8*2</f>
        <v>0.04</v>
      </c>
    </row>
    <row r="9" spans="2:6" ht="16.5" thickBot="1" x14ac:dyDescent="0.3">
      <c r="B9" s="15" t="s">
        <v>8</v>
      </c>
      <c r="C9" s="16"/>
      <c r="D9" s="16"/>
      <c r="E9" s="17"/>
      <c r="F9" s="35">
        <f>SUM(F7:F8)</f>
        <v>0.04</v>
      </c>
    </row>
    <row r="10" spans="2:6" x14ac:dyDescent="0.25">
      <c r="B10" s="29"/>
      <c r="C10" s="2"/>
      <c r="D10" s="2"/>
      <c r="E10" s="2"/>
      <c r="F10" s="8"/>
    </row>
    <row r="11" spans="2:6" ht="17.25" x14ac:dyDescent="0.3">
      <c r="B11" s="30" t="s">
        <v>9</v>
      </c>
      <c r="C11" s="2"/>
      <c r="D11" s="2"/>
      <c r="E11" s="2"/>
      <c r="F11" s="8"/>
    </row>
    <row r="12" spans="2:6" ht="15.75" thickBot="1" x14ac:dyDescent="0.3">
      <c r="B12" s="9" t="s">
        <v>10</v>
      </c>
      <c r="C12" s="22" t="s">
        <v>11</v>
      </c>
      <c r="D12" s="10" t="s">
        <v>36</v>
      </c>
      <c r="E12" s="10" t="s">
        <v>38</v>
      </c>
      <c r="F12" s="11" t="s">
        <v>5</v>
      </c>
    </row>
    <row r="13" spans="2:6" x14ac:dyDescent="0.25">
      <c r="B13" s="6" t="s">
        <v>34</v>
      </c>
      <c r="C13" s="7">
        <v>4.4999999999999998E-2</v>
      </c>
      <c r="D13" s="7" t="s">
        <v>37</v>
      </c>
      <c r="E13" s="7">
        <v>730</v>
      </c>
      <c r="F13" s="8">
        <f>C13*E13</f>
        <v>32.85</v>
      </c>
    </row>
    <row r="14" spans="2:6" x14ac:dyDescent="0.25">
      <c r="B14" s="6" t="s">
        <v>12</v>
      </c>
      <c r="C14" s="7">
        <v>4.4999999999999998E-2</v>
      </c>
      <c r="D14" s="7" t="s">
        <v>35</v>
      </c>
      <c r="E14" s="7">
        <v>1</v>
      </c>
      <c r="F14" s="8">
        <f>C14*E14</f>
        <v>4.4999999999999998E-2</v>
      </c>
    </row>
    <row r="15" spans="2:6" ht="15.75" thickBot="1" x14ac:dyDescent="0.3">
      <c r="B15" s="6" t="s">
        <v>13</v>
      </c>
      <c r="C15" s="7">
        <v>0.09</v>
      </c>
      <c r="D15" s="7" t="s">
        <v>35</v>
      </c>
      <c r="E15" s="7">
        <v>1</v>
      </c>
      <c r="F15" s="8">
        <f>C15*E15</f>
        <v>0.09</v>
      </c>
    </row>
    <row r="16" spans="2:6" ht="16.5" thickBot="1" x14ac:dyDescent="0.3">
      <c r="B16" s="18" t="s">
        <v>14</v>
      </c>
      <c r="C16" s="19"/>
      <c r="D16" s="19"/>
      <c r="E16" s="20"/>
      <c r="F16" s="35">
        <f>SUM(F13:F15)</f>
        <v>32.985000000000007</v>
      </c>
    </row>
    <row r="17" spans="2:6" ht="15.75" thickBot="1" x14ac:dyDescent="0.3">
      <c r="B17" s="29"/>
      <c r="C17" s="2"/>
      <c r="D17" s="2"/>
      <c r="E17" s="2"/>
      <c r="F17" s="8"/>
    </row>
    <row r="18" spans="2:6" ht="24" thickBot="1" x14ac:dyDescent="0.4">
      <c r="B18" s="31" t="s">
        <v>15</v>
      </c>
      <c r="C18" s="32"/>
      <c r="D18" s="32"/>
      <c r="E18" s="32"/>
      <c r="F18" s="37">
        <f>F9+F16</f>
        <v>33.025000000000006</v>
      </c>
    </row>
    <row r="19" spans="2:6" x14ac:dyDescent="0.25">
      <c r="B19" s="2"/>
      <c r="C19" s="2"/>
      <c r="D19" s="2"/>
      <c r="E19" s="2"/>
    </row>
    <row r="20" spans="2:6" x14ac:dyDescent="0.25">
      <c r="B20" s="2" t="s">
        <v>16</v>
      </c>
      <c r="C20" s="2"/>
      <c r="D20" s="2"/>
      <c r="E20" s="2"/>
    </row>
    <row r="21" spans="2:6" x14ac:dyDescent="0.25">
      <c r="B21" s="2" t="s">
        <v>17</v>
      </c>
      <c r="C21" s="2"/>
      <c r="D21" s="2"/>
      <c r="E21" s="2"/>
    </row>
    <row r="22" spans="2:6" x14ac:dyDescent="0.25">
      <c r="B22" s="2" t="s">
        <v>18</v>
      </c>
      <c r="C22" s="2"/>
      <c r="D22" s="2"/>
      <c r="E22" s="2"/>
    </row>
    <row r="23" spans="2:6" x14ac:dyDescent="0.25">
      <c r="B23" s="2" t="s">
        <v>19</v>
      </c>
      <c r="C23" s="2"/>
      <c r="D23" s="2"/>
      <c r="E23" s="2"/>
    </row>
    <row r="24" spans="2:6" x14ac:dyDescent="0.25">
      <c r="B24" s="2" t="s">
        <v>20</v>
      </c>
      <c r="C24" s="2"/>
      <c r="D24" s="2"/>
      <c r="E24" s="2"/>
    </row>
    <row r="25" spans="2:6" x14ac:dyDescent="0.25">
      <c r="B25" s="2" t="s">
        <v>21</v>
      </c>
      <c r="C25" s="2"/>
      <c r="D25" s="2"/>
      <c r="E25" s="2"/>
    </row>
  </sheetData>
  <mergeCells count="1">
    <mergeCell ref="B18:E18"/>
  </mergeCells>
  <phoneticPr fontId="11" type="noConversion"/>
  <pageMargins left="0.75" right="0.75" top="1" bottom="1" header="0.5" footer="0.5"/>
  <pageSetup orientation="portrait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8"/>
  <sheetViews>
    <sheetView workbookViewId="0">
      <selection activeCell="C19" sqref="C19"/>
    </sheetView>
  </sheetViews>
  <sheetFormatPr defaultRowHeight="15" x14ac:dyDescent="0.25"/>
  <cols>
    <col min="2" max="2" width="53" bestFit="1" customWidth="1"/>
    <col min="3" max="3" width="20.42578125" customWidth="1"/>
    <col min="4" max="4" width="12" customWidth="1"/>
    <col min="5" max="5" width="18" customWidth="1"/>
  </cols>
  <sheetData>
    <row r="2" spans="2:6" ht="18.75" customHeight="1" thickBot="1" x14ac:dyDescent="0.35">
      <c r="B2" s="3" t="s">
        <v>22</v>
      </c>
    </row>
    <row r="3" spans="2:6" ht="15.75" thickTop="1" x14ac:dyDescent="0.25">
      <c r="B3" s="4" t="s">
        <v>23</v>
      </c>
    </row>
    <row r="4" spans="2:6" ht="15.75" customHeight="1" thickBot="1" x14ac:dyDescent="0.3"/>
    <row r="5" spans="2:6" x14ac:dyDescent="0.25">
      <c r="B5" s="38" t="s">
        <v>3</v>
      </c>
      <c r="C5" s="39" t="s">
        <v>24</v>
      </c>
      <c r="D5" s="39" t="s">
        <v>4</v>
      </c>
      <c r="E5" s="40" t="s">
        <v>5</v>
      </c>
      <c r="F5" s="2"/>
    </row>
    <row r="6" spans="2:6" x14ac:dyDescent="0.25">
      <c r="B6" s="41" t="s">
        <v>39</v>
      </c>
      <c r="C6" s="33">
        <v>0</v>
      </c>
      <c r="D6" s="2">
        <v>1</v>
      </c>
      <c r="E6" s="42">
        <f>C6*D6</f>
        <v>0</v>
      </c>
      <c r="F6" s="2"/>
    </row>
    <row r="7" spans="2:6" ht="15.75" customHeight="1" thickBot="1" x14ac:dyDescent="0.3">
      <c r="B7" s="29" t="s">
        <v>40</v>
      </c>
      <c r="C7" s="2">
        <v>0.02</v>
      </c>
      <c r="D7" s="2">
        <v>1</v>
      </c>
      <c r="E7" s="42">
        <f>C7*D7</f>
        <v>0.02</v>
      </c>
      <c r="F7" s="2"/>
    </row>
    <row r="8" spans="2:6" ht="16.5" thickBot="1" x14ac:dyDescent="0.3">
      <c r="B8" s="15" t="s">
        <v>25</v>
      </c>
      <c r="C8" s="16"/>
      <c r="D8" s="17"/>
      <c r="E8" s="34">
        <f>SUM(E6:E7)</f>
        <v>0.02</v>
      </c>
      <c r="F8" s="2"/>
    </row>
    <row r="9" spans="2:6" ht="15.75" thickBot="1" x14ac:dyDescent="0.3">
      <c r="B9" s="29"/>
      <c r="C9" s="2"/>
      <c r="D9" s="2"/>
      <c r="E9" s="26"/>
      <c r="F9" s="2"/>
    </row>
    <row r="10" spans="2:6" ht="24" thickBot="1" x14ac:dyDescent="0.4">
      <c r="B10" s="31" t="s">
        <v>15</v>
      </c>
      <c r="C10" s="32"/>
      <c r="D10" s="32"/>
      <c r="E10" s="37">
        <f>E8</f>
        <v>0.02</v>
      </c>
    </row>
    <row r="11" spans="2:6" x14ac:dyDescent="0.25">
      <c r="B11" s="2"/>
      <c r="C11" s="2"/>
      <c r="D11" s="2"/>
      <c r="E11" s="2"/>
      <c r="F11" s="2"/>
    </row>
    <row r="12" spans="2:6" x14ac:dyDescent="0.25">
      <c r="B12" t="s">
        <v>16</v>
      </c>
    </row>
    <row r="13" spans="2:6" x14ac:dyDescent="0.25">
      <c r="B13" t="s">
        <v>26</v>
      </c>
    </row>
    <row r="14" spans="2:6" x14ac:dyDescent="0.25">
      <c r="B14" t="s">
        <v>27</v>
      </c>
    </row>
    <row r="15" spans="2:6" x14ac:dyDescent="0.25">
      <c r="B15" t="s">
        <v>28</v>
      </c>
    </row>
    <row r="16" spans="2:6" x14ac:dyDescent="0.25">
      <c r="B16" t="s">
        <v>29</v>
      </c>
    </row>
    <row r="17" spans="2:2" x14ac:dyDescent="0.25">
      <c r="B17" t="s">
        <v>30</v>
      </c>
    </row>
    <row r="18" spans="2:2" x14ac:dyDescent="0.25">
      <c r="B18" t="s">
        <v>21</v>
      </c>
    </row>
  </sheetData>
  <mergeCells count="1">
    <mergeCell ref="B10:D10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7"/>
  <sheetViews>
    <sheetView workbookViewId="0">
      <selection activeCell="D12" sqref="D12"/>
    </sheetView>
  </sheetViews>
  <sheetFormatPr defaultRowHeight="15" x14ac:dyDescent="0.25"/>
  <cols>
    <col min="2" max="2" width="40.42578125" bestFit="1" customWidth="1"/>
    <col min="3" max="3" width="18" customWidth="1"/>
  </cols>
  <sheetData>
    <row r="2" spans="2:4" ht="18.75" customHeight="1" thickBot="1" x14ac:dyDescent="0.35">
      <c r="B2" s="3" t="s">
        <v>31</v>
      </c>
    </row>
    <row r="3" spans="2:4" ht="16.5" thickTop="1" thickBot="1" x14ac:dyDescent="0.3"/>
    <row r="4" spans="2:4" x14ac:dyDescent="0.25">
      <c r="B4" s="43" t="s">
        <v>41</v>
      </c>
      <c r="C4" s="44" t="s">
        <v>42</v>
      </c>
      <c r="D4" s="1"/>
    </row>
    <row r="5" spans="2:4" x14ac:dyDescent="0.25">
      <c r="B5" s="45" t="s">
        <v>32</v>
      </c>
      <c r="C5" s="46">
        <f>'Base Network'!F18</f>
        <v>33.025000000000006</v>
      </c>
      <c r="D5" s="1"/>
    </row>
    <row r="6" spans="2:4" ht="15.75" thickBot="1" x14ac:dyDescent="0.3">
      <c r="B6" s="45" t="s">
        <v>33</v>
      </c>
      <c r="C6" s="46">
        <f>'VPC Peering'!E10</f>
        <v>0.02</v>
      </c>
      <c r="D6" s="1"/>
    </row>
    <row r="7" spans="2:4" ht="24" thickBot="1" x14ac:dyDescent="0.4">
      <c r="B7" s="36" t="s">
        <v>15</v>
      </c>
      <c r="C7" s="37">
        <f>SUM(C5:C6)</f>
        <v>33.045000000000009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 Network</vt:lpstr>
      <vt:lpstr>VPC Peering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Aakash Kumar</cp:lastModifiedBy>
  <dcterms:created xsi:type="dcterms:W3CDTF">2025-12-06T21:43:25Z</dcterms:created>
  <dcterms:modified xsi:type="dcterms:W3CDTF">2025-12-10T01:40:50Z</dcterms:modified>
</cp:coreProperties>
</file>